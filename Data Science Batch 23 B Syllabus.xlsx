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otal Project" sheetId="1" r:id="rId4"/>
    <sheet state="hidden" name="Copy of Data Science Job Connec" sheetId="2" r:id="rId5"/>
    <sheet state="visible" name="Data Science 23B" sheetId="3" r:id="rId6"/>
  </sheets>
  <definedNames/>
  <calcPr/>
</workbook>
</file>

<file path=xl/sharedStrings.xml><?xml version="1.0" encoding="utf-8"?>
<sst xmlns="http://schemas.openxmlformats.org/spreadsheetml/2006/main" count="413" uniqueCount="234">
  <si>
    <t>NO</t>
  </si>
  <si>
    <t>Session</t>
  </si>
  <si>
    <t>Topic</t>
  </si>
  <si>
    <t>Subtopic</t>
  </si>
  <si>
    <t>Exercise and Assignment</t>
  </si>
  <si>
    <t>Tools</t>
  </si>
  <si>
    <t>Day-0
Sabtu, 09 September 2023
09.00  - 11.30 WIB</t>
  </si>
  <si>
    <t>On Boarding Before Bootcamp</t>
  </si>
  <si>
    <t>Pada sesi ini, student akan dijelaskan apa saja yang perlu dipersiapkan sebelum memulai bootcamp dan sebelum memulai kelas beserta journey belajar yang akan dilewati</t>
  </si>
  <si>
    <t>Day-Video Learning
Jumat, 15 September 2023
09.00 - 19.00 WIB</t>
  </si>
  <si>
    <t>Video Learning
Introduction to Data Science &amp; Python</t>
  </si>
  <si>
    <t>Pada sesi ini desediakan video yang dapat ditonton sebelum kelas terkait Introduction to Data Science dan Introduction to Python, 
Tidak ada kelas secara live atau sinkron</t>
  </si>
  <si>
    <t>Day-1
Sabtu, 16 September 2023
09.00 - 11.30 WIB</t>
  </si>
  <si>
    <t>Introduction to Data Science</t>
  </si>
  <si>
    <t>1. Introduction to Data Science (Analytics and Machine Learning)
2. Data Science Methodology
3. The difference between Data Science in R and Python and the implementation in the related field
4. Introduction to Coding Exercise and how to googling effectively as data scientist.</t>
  </si>
  <si>
    <t>-</t>
  </si>
  <si>
    <t>Zoom</t>
  </si>
  <si>
    <t>Day-2
Minggu, 17 September 2023
09.00 - 11.30 WIB</t>
  </si>
  <si>
    <t>Introduction to Python</t>
  </si>
  <si>
    <t>1. Introduction to write a code in Python by using Jupyter notebook/colab
2. Penjelasan mengenai kenapa data scientist perlu belajar coding
3. Platform yang bisa digunakan untuk latihan coding
4. Basic Code yang harus dipahami ( input-output, if/else condition)</t>
  </si>
  <si>
    <t>Class Exercise:
Hands on Basic Programming in Python</t>
  </si>
  <si>
    <t>Google Colaboratory</t>
  </si>
  <si>
    <t>Day-3
Jumat, 22 September 2023
09.00 - 19.00 WIB</t>
  </si>
  <si>
    <t>Video Learning
Hands On Data Science Project with Python: Data Type and Structure</t>
  </si>
  <si>
    <t>1. Introduction to Python Programming
2. Python Basic
3. Variable, Data Type and Operation
4. Packages in Python
5. Python Numpy
6. Python Pandas
Tidak ada kelas secara live atau sinkron</t>
  </si>
  <si>
    <t>Day-4
Sabtu, 23 September 2023
13.00 - 15.30 WIB</t>
  </si>
  <si>
    <t>Hands On Data Science Project with Python: Data Type and Structure</t>
  </si>
  <si>
    <t>1. Basic Calculation in Python
2. Data Type: character, numeric (real or decimal), integer, logical, complex
3. Data Structure: vector, list, matrix, factors
4. Continuous and Categorical Data
5. Looping</t>
  </si>
  <si>
    <t>Assignment:
Case study and problem solve with Python programming 
Deadline: (Individu, dikumpulkan maks H+7 kelas di LMS)</t>
  </si>
  <si>
    <t>Zoom dan Google Colaboratory</t>
  </si>
  <si>
    <t>Day-5
Minggu, 24 September 2023
13.00 - 15.30 WIB</t>
  </si>
  <si>
    <t>Descriptive Statistic</t>
  </si>
  <si>
    <t>1. Mean, median, and mode
2. Variance and covariance
3. Expected Values
4. Standard deviation
5. Standard normal curve
6. Z score calculation</t>
  </si>
  <si>
    <t>Class Exercise:
Statistics in Python</t>
  </si>
  <si>
    <t>Day-Sosialisasi
Jumat, 29 September 2023
19.00 - 21.30 WIB</t>
  </si>
  <si>
    <t xml:space="preserve">Sosialisasi : 
Penyaluran Kerja </t>
  </si>
  <si>
    <t>Peserta mengikuti sesi penyaluran kerja yang akan disampaikan oleh tim talent support dibimbing.id untuk memeberi informasi journey career preparation (hanya student yang memilih paket job connector)</t>
  </si>
  <si>
    <t>Day-6
Sabtu, 30 September 2023
09.00 - 11.30 WIB</t>
  </si>
  <si>
    <t>Hands On Data Science Project with Python: Data Cleaning</t>
  </si>
  <si>
    <t>1. Handling missing value
2. Data Frame
3. Categorical data encoding
4. Outlier handling</t>
  </si>
  <si>
    <t>Assignment:
Data cleaning with Python by using dataset https://www.kaggle.com/blastchar/telco-customer-churn 
Deadline: (Individu, dikumpulkan maks H+7 kelas di LMS)</t>
  </si>
  <si>
    <t>Day-7
Minggu, 01 Oktober 2023
09.00 - 11.30 WIB</t>
  </si>
  <si>
    <t>Hands On Data Science Project with Python: Data Manipulation</t>
  </si>
  <si>
    <t>1. Data Manipulation Process
2. Data standardization
3. Data transformation
4. Library for Data Manipulation
5. Feature engineering
6. Melt &amp; Unmelt Data</t>
  </si>
  <si>
    <t>Assignment:
Data manipulation with Python by using dataset 
https://www.kaggle.com/blastchar/telco-customer-churn 
Deadline: (Individu, dikumpulkan maks H+7 kelas di LMS)</t>
  </si>
  <si>
    <t>Day-8
Sabtu, 07 Oktober 2023
13.00 - 15.30 WIB</t>
  </si>
  <si>
    <t>Hypothesis Testing Concepts</t>
  </si>
  <si>
    <t>1. Probability Mass Function
2. Probability Density Function
3. T test (paired and two-sample)
4. P-Values
5. One way ANOVA
6. Alpha, null and alternative hypothesis</t>
  </si>
  <si>
    <t>Class Exercise:
Statistics in Python
Assignment:
Solving statistical problems and interpreting output 
Deadline: (Individu, dikumpulkan maks H+7 kelas di LMS)</t>
  </si>
  <si>
    <t>Zoom, Google Colaboratory</t>
  </si>
  <si>
    <t>Day-9
Minggu, 08 Oktober 2023
13.00 - 15.30 WIB</t>
  </si>
  <si>
    <t>Career Preparation Class : CV and LinkedIn Profile Building</t>
  </si>
  <si>
    <t>1. Pemateri memaparkan urgensi menampilkan CV dan Profil LinkedIn yang baik dan kaitannya dengan ketertarikan dan kepercayaan company terhadap seorang digital talent
2. Pemateri menyampaikan personal branding sebagai salah satu hal yang penting ditunjukkan oleh digital talent serta cara menuliskannya pada CV dan Profil LinkedIn
3. Pemateri penyampaian poin-poin penting yang harus tertulis pada CV dan Profil LinkedIn dan kaitannya dengan poin yang menjadi perhatian hiring company dalam proses merekrut digital talent
4. Menyampaikan seputar ATS CV beserta tips &amp; trik agar lolos screening system ATS
5. Tips &amp; Trik serta hal-hal yang perlu dihindari dalam menyusun CV dan Profil LinkedIn (Dilakukan dengan meminta student untuk menayangkan CV dan Profil LinkedIn nya dan direview langsung oleh pemateri)</t>
  </si>
  <si>
    <t>Assignment :
Memperbaiki CV dan Profil LInkedIn sesuai dengan materi yang telah diberikan
Deadline: (Individu, dikumpulkan maks H+14 kelas ke tim Dibimbing.id)</t>
  </si>
  <si>
    <t>Day-Consultation Class 1
Sabtu, 14 Oktober 2023
09.00 - 11.30 WIB</t>
  </si>
  <si>
    <t xml:space="preserve">Consultation Class 1 </t>
  </si>
  <si>
    <t>1. Teknis Consultation Class
2. Menjelaskan certification hackerrank</t>
  </si>
  <si>
    <t>Day-10
Sabtu, 14 Oktober 2023
13.00 - 15.30 WIB</t>
  </si>
  <si>
    <t>Hands On Data Science Project with Python: Data Visualization in Python I</t>
  </si>
  <si>
    <t>1. Visualizing bivariate data
2. Visualizing data distribution
3. Visualizing categorical data</t>
  </si>
  <si>
    <t>Class Exercise:
Visualize data
Assignment:
Visualize data by using dataset
https://www.kaggle.com/blastchar/telco-customer-churn 
Deadline: (Individu, dikumpulkan maks H+7 kelas di LMS)</t>
  </si>
  <si>
    <t>Day-11
Minggu, 15 Oktober 2023
09.00 - 11.30 WIB</t>
  </si>
  <si>
    <t>Hands On Data Science Project with Python: Data Visualization in Python II</t>
  </si>
  <si>
    <t>1. Enhancing Matplot dan Seaborn library
2. Fills
3. Discrete and Continuous Colors
4. Facet with Wraps and Grids</t>
  </si>
  <si>
    <t>Class Exercise:
Visualize data dengan menggunakan 1 atau 2 dataset</t>
  </si>
  <si>
    <t>Day-12
Sabtu, 21 Oktober 2023
13.00 - 15.30 WIB</t>
  </si>
  <si>
    <t>Web Dashboard Development</t>
  </si>
  <si>
    <t>1. How to connect Google Sheets to Google Data Studio
2. Create visualizations (maps, charts, scatter plot, histogram)
3. Pivot Table
4. Interactive Dashboards using date/dimension
5. Data storytelling</t>
  </si>
  <si>
    <t>Assignment:
Dashboard 
Deadline: (Individu, dikumpulkan maks H+7 kelas di LMS)</t>
  </si>
  <si>
    <t>Zoom dan Google Data Studio</t>
  </si>
  <si>
    <t>Day-13
Minggu, 22 Oktober 2023
13.00 - 15.30 WIB</t>
  </si>
  <si>
    <t>Hands On Data Science Project with Python: Exploratory Data Analysis I</t>
  </si>
  <si>
    <t>1. Reading and Extracting Data
2. Data Understanding
3. Exploratory Data Analysis</t>
  </si>
  <si>
    <t>Class Exercise:
Exploratory Data Analysis
Assignment: -</t>
  </si>
  <si>
    <t>Day-14
Sabtu, 28 Oktober 2023
09.00 - 11.30 WIB</t>
  </si>
  <si>
    <t>Hands On Data Science Project with Python: Exploratory Data Analysis II</t>
  </si>
  <si>
    <t>1. Data frame rows-filtering
2. Sampling and randomization
3. Cross-tabulation
4. Group-by aggregation</t>
  </si>
  <si>
    <t>Assignment:
Case study and problem solve with Python programming about EDA (include topics in EDA1 and EDA 2) by using dataset
https://www.kaggle.com/blastchar/telco-customer-churn 
Deadline: (Individu, dikumpulkan maks H+7 kelas di LMS)</t>
  </si>
  <si>
    <t>Day-15
Minggu, 29 Oktober 2023
09.00 - 12.00 WIB</t>
  </si>
  <si>
    <t>Simple &amp; Multiple Regression Models (Supervised)</t>
  </si>
  <si>
    <t>1. Introduction to linear regression (including assumption)
2. Linear regression (single &amp; multiple predictor)
3. Model interpretation
4. Handling multicollinearity using VIF
5. Model evaluation &amp; diagnostic
6. Model limitations</t>
  </si>
  <si>
    <t>Class Exercise:
Regression with Python</t>
  </si>
  <si>
    <t>Day-16
Sabtu, 04 November 2023
09.00 - 11.30 WIB</t>
  </si>
  <si>
    <t>Regularized Regression in Python</t>
  </si>
  <si>
    <t>1. Model bias variance trade-off
2. Introduction to linear regression with regularization
3. Ridge regression in details
4. Lasso regression in details</t>
  </si>
  <si>
    <t>Assignment:
Solve the problems and interpreting output 
Deadline: (Individu, dikumpulkan maks H+7 kelas di LMS)</t>
  </si>
  <si>
    <t>Day-Consultation Class 2
Minggu, 05 November 2023
09.00 - 11.30 WIB</t>
  </si>
  <si>
    <t>Consultation Class 2</t>
  </si>
  <si>
    <t>1. Teknis Consultation Class</t>
  </si>
  <si>
    <t>Day-17
Minggu, 05 November 2023
13.00 - 15.30 WIB</t>
  </si>
  <si>
    <t>Exploring Machine Learning Models with Python (Supervised) Part I</t>
  </si>
  <si>
    <t>1. Introduction to Machine Learning
2. K-Nearest Neighbors
3. Logistic Regression
4. Decision Tree
 o Read the data &amp; understand the data
 o Transform data to fulfill decision tree assumption
 o Model training &amp; fit &amp; explanation of the parameters
 o Model result &amp; performance score
 o Interpret the model &amp; result</t>
  </si>
  <si>
    <t>Class Exercise:
Logistic Regression with Python
Assignment:</t>
  </si>
  <si>
    <t>Day-18
Sabtu, 11 November 2023
13.00 - 16.00 WIB</t>
  </si>
  <si>
    <t>Exploring Machine Learning Models with Python (Supervised) Part II</t>
  </si>
  <si>
    <t>1. Random Forest
2. Storyline Processing Data
3. Cross Validation
4. Imbalanced Data handling
5. AUC, Precision, Recall Score</t>
  </si>
  <si>
    <t>Class Exercise:
Random Forest with Python
Assignment:
Create Supervised Machine Learning with Python 
Deadline: (Individu, dikumpulkan maks H+7 kelas di LMS)</t>
  </si>
  <si>
    <t>Day-19
Minggu, 12 November 2023
13.00 - 16.00 WIB</t>
  </si>
  <si>
    <t>Sharing Session and Mid test Preparation</t>
  </si>
  <si>
    <t>1. Mid-test Preparation 
2. Peer Teaching Group</t>
  </si>
  <si>
    <t>Day-20
Sabtu, 18 November 2023
09.00 - 11.30 WIB</t>
  </si>
  <si>
    <t>Middle Test</t>
  </si>
  <si>
    <t>Mid test untuk menguji pengetahuan students terkait rangkaian kelas yang diikuti (day 1-22)</t>
  </si>
  <si>
    <t>Day-21
Minggu, 19 November 2023
09.00 - 12.00 WIB</t>
  </si>
  <si>
    <t>Exploring Other Machine Learning Models With Python (Unsupervised) Part I</t>
  </si>
  <si>
    <t>1. Introduction to Unsupervised Machine Learning
2. Principal Component Analysis (PCA) &amp; Factor Analysis (FA)
o Read the data &amp; understand the data
o Model training &amp; fit &amp; explanation of the parameters
o Model result &amp; performance score
o Scree plot
o Visualize dimension reduction
o Interpret the model &amp; result</t>
  </si>
  <si>
    <t>Assignment:
Create Unsupervised Machine Learning with Python 
Deadline: (Individu, dikumpulkan maks H+7 kelas di LMS)</t>
  </si>
  <si>
    <t>Day-22
Sabtu, 25 November 2023
13.00 - 16.00 WIB</t>
  </si>
  <si>
    <t>Exploring Other Machine Learning Models With Python (Unsupervised) Part II</t>
  </si>
  <si>
    <t>1. Introduction to Clustering
2. Cluster analysis
o K-Means Clustering
o Read the data &amp; understand the data
o Model training &amp; fit &amp; explanation of the parameters
o Model result &amp; performance score
o Interpret the model &amp; result
o Visualize the result</t>
  </si>
  <si>
    <t>Day-23
Minggu, 26 November 2023
13.00 - 16.00 WIB</t>
  </si>
  <si>
    <t>Hyperparameter Tuning in Python</t>
  </si>
  <si>
    <t>1. What is hyperparameter &amp; why optimizing it?
2. Tuning penalized linear regression
3. Tuning K-Nearest Neighbors
4. Tuning K-means clustering
5. Tuning Random Forest</t>
  </si>
  <si>
    <t>Assignment:
Hyperparameter tuning with Python 
Deadline: (Individu, dikumpulkan maks H+7 kelas di LMS)</t>
  </si>
  <si>
    <t>Day-24
Sabtu, 02 Desember 2023
09.00 - 11.30 WIB</t>
  </si>
  <si>
    <t>Business Understanding in Data Science</t>
  </si>
  <si>
    <t>1. Bagaimana Data Science berkontribusi pada perkembangan bisnis
2. Insight dari proses Data Science yang penting untuk dilihat guna meningkatkan profit perusahaan
3. Kemungkinan yang terjadi jika tidak memperhatikan insight dari proses Data Science ke perusahaan</t>
  </si>
  <si>
    <t>Class Exercise:
Case study tentang bagaimana memahami insight yang diperoleh untuk mencapai kesuksesan perusahaan</t>
  </si>
  <si>
    <t>Day-Consultation Class 3
Minggu, 03 Desember 2023
09.00 - 11.30 WIB</t>
  </si>
  <si>
    <t>Consultation Class 3</t>
  </si>
  <si>
    <t>Day-25
Sabtu, 09 Desember 2023
13.00 - 15.30 WIB</t>
  </si>
  <si>
    <t>SQL Query I</t>
  </si>
  <si>
    <t>1. Introduction + DDL
2. Short introduce to Database / DDL / DML
3. Setting up Environment
4. Create Cloud Postgre Database
5. Database connection through DBI package
6. DDL</t>
  </si>
  <si>
    <t>Class Exercise:
SQL Query practices</t>
  </si>
  <si>
    <t>Zoom, Bigquery</t>
  </si>
  <si>
    <t>Day-26
Minggu, 10 Desember 2023
13.00 - 15.30 WIB</t>
  </si>
  <si>
    <t>SQL Query II</t>
  </si>
  <si>
    <t>1. Basic SQL
2. Where clause (value comparison, string pattern, etc)
3. Aggregate statement
4. Conditional statement ( case when)
5. Join Statement
7. Union Operation</t>
  </si>
  <si>
    <t>Class Exercise:
SQL Query practices
Assignment:
Solve SQL Query in real case 1 
Deadline: (Individu, dikumpulkan maks H+7 kelas di LMS)</t>
  </si>
  <si>
    <t>Day-27
Sabtu, 16 Desember 2023
09.00 - 11.30 WIB</t>
  </si>
  <si>
    <t>SQL Query III</t>
  </si>
  <si>
    <t>1. DML Part 2 + Data analysis
2. Subquery, Rank, Other SQL Operation
3. Analysis case study</t>
  </si>
  <si>
    <t>Class Exercise:
SQL Query
Assignment:
Solve SQL Query in real case 1 
Deadline: (Individu, dikumpulkan maks H+7 kelas di LMS)</t>
  </si>
  <si>
    <t>Day-28
Minggu, 17 Desember 2023
09.00 - 11.30 WIB</t>
  </si>
  <si>
    <t>Career Class and Coding Test 
Preparation</t>
  </si>
  <si>
    <t>1. Alur rekrutmen sebagai data scientist
2. Jenis tes yang harus dilalui saat proses rekrutmen
3. Kendala apa saja yang biasanya dihadapi saat proses rekrutmen
4. Tips &amp; tricks dalam proses rekrutmen sebagai data scientist (terutama pada technical interview)
5. Hal yang paling penting untuk dimiliki agar bisa switching career
6. Simulasi live coding test menggunakan HackerRank</t>
  </si>
  <si>
    <t>Class Exercise:
Solve coding problems on HackerRank</t>
  </si>
  <si>
    <t>Zoom, HackerRank</t>
  </si>
  <si>
    <t>Day-29
Sabtu, 06 Januari 2024
09.00 - 11.30 WIB</t>
  </si>
  <si>
    <t>Data Science Career &amp; Final Project Introduction</t>
  </si>
  <si>
    <t>1. Workflow in Data Science field (differentiation between data scientist, data analyst, data engineer, or etc)
2. Describe job options in Data Science and their role in industry
3. How to do a project and transform it to shareable portfolio on Linkedin
4. What is Kaggle and Github? and how to writing in Kaggle or Github?
5. How to use Kaggle and create portfolio with this source
6. Final Project introduction</t>
  </si>
  <si>
    <t>Assignment:
Mengumpulkan progress final project setiap individu
Deadline: (Individu, dikumpulkan maks H+7 kelas ke tim Dibimbing.id)</t>
  </si>
  <si>
    <t>Day-30
Minggu, 07 Januari 2024
09.00 - 11.30 WIB</t>
  </si>
  <si>
    <t>Final Test : Coding Test</t>
  </si>
  <si>
    <t>Pada sesi ini akan dilakukan pengujian coding secara real time oleh masing-masing student</t>
  </si>
  <si>
    <t>Day-31
Sabtu, 13 Januari 2024
23.29 - 23.30 WIB</t>
  </si>
  <si>
    <t>Pengumpulan Progress Final Project</t>
  </si>
  <si>
    <t>Day-32
Sabtu, 20 Januari 2024
09.00 - 12.00 WIB</t>
  </si>
  <si>
    <t>Final Project Mentoring</t>
  </si>
  <si>
    <t>Pada sesi ini, students akan difasilitasi untuk berkonsultasi secara live dengan para mentor terkait perkembangan final project pada tim masing-masing</t>
  </si>
  <si>
    <t>Assignment:
Mengumpulkan script dan file presentasi final project</t>
  </si>
  <si>
    <t>Day-33
Sabtu, 27 Januari 2024
09.00 - 12.00 WIB</t>
  </si>
  <si>
    <t>Final Project Presentation</t>
  </si>
  <si>
    <t>Pada sesi ini, students akan mempresentasikan hasil final projectnya yang akan direview langsung oleh mentor</t>
  </si>
  <si>
    <t>Presentasi Final Project</t>
  </si>
  <si>
    <t>Day-34
Minggu, 04 Februari 2024
09.00 - 11.30 WIB</t>
  </si>
  <si>
    <t>Portofolio Review</t>
  </si>
  <si>
    <t>1. Do the portfolio sharing on Social media platform
2. Write the portfolio on the updated CV
3. Portfolio review</t>
  </si>
  <si>
    <t>Assignments:
Create, submit, and post all Python portfolio
Deadline: (Individu, dikumpulkan maks H+7 kelas ke tim Dibimbing.id)</t>
  </si>
  <si>
    <t>Zoom, LinkedIn, Google Colaboratory</t>
  </si>
  <si>
    <t>Day-35
Sabtu, 10 Februari 2024
09.00 - 11.30 WIB</t>
  </si>
  <si>
    <t>Graduation</t>
  </si>
  <si>
    <t xml:space="preserve">Pada sesi ini akan diumumkan awards untuk students terbaik yang memenuhi kualifikasi serta pembagian sertifikat dan hal-hal yang perlu disampaikan terkait berakhirnya bootcamp </t>
  </si>
  <si>
    <t>Day-Extra Class 1
Minggu, 11 Februari 2024
09.00 - 11.30 WIB</t>
  </si>
  <si>
    <t>Spesial Class : Python and SQL for advanced</t>
  </si>
  <si>
    <t xml:space="preserve">1. Memberikan refreshment bagaimana ngoding dengan benar dalam mencari solusi
2. Membahas 2-3 soal python yang related saat user interview di company
3. Membahas 2-3 soal SQL Query yang related saat user interview di company </t>
  </si>
  <si>
    <t>Class Exercise:
Python and SQL user interview 2-3 soal
Assignment:
Python and SQL Study Case
Deadline: (Individu, dikumpul maksimal H+7 kelas di LMS)</t>
  </si>
  <si>
    <t>Zoom &amp; Google Colaboratory</t>
  </si>
  <si>
    <t>Day-Extra Class 2
Sabtu, 17 Februari 2024
09.00 - 11.30 WIB</t>
  </si>
  <si>
    <t>Spesial Class : Web Dashboard Development using Tableau Part 1</t>
  </si>
  <si>
    <t>Teori
1. Konsep-konsep dasar data visualization menggunakan Tableau
2. Tipe-tipe chart dan kapan menggunakannya
Practice Tableau
3. Overview &amp; Environment Tableau
4. Connection &amp; Join Data
5.  Tableau Data Types
6. Dimension &amp; Measures
Building Chart
7. Bar charts, histogram, and box-and-whisker plot
8. Line Charts, Scatter Plot, and Tree Maps
9. Heatmaps, Funnel Charts, and Gantt Chart</t>
  </si>
  <si>
    <t xml:space="preserve">Exercise:
Hands on Tableau
Assignment: -
</t>
  </si>
  <si>
    <t>Zoom dan Tableau</t>
  </si>
  <si>
    <t>Day-Extra Class 3
Minggu, 18 Februari 2024
09.00 - 11.30 WIB</t>
  </si>
  <si>
    <t>Spesial Class : Web Dashboard Development using Tablue Part 2</t>
  </si>
  <si>
    <t xml:space="preserve">Calculated Field
1. Membuat berbagai Calculated Field
2. Fungsi Aggregat
3. Fungsi Logikal
4. Table Calculation
4.  Level Of Detail Expression
5. Parameter
Filter &amp; Sorting
6. Sorting
7. Macam-macam filter
Dashboard
8. Overview Dashboard
9. Membuat Dashboard Sederhana
</t>
  </si>
  <si>
    <t xml:space="preserve">Exercise:
Full hands-on
Assignment: 
Membuat Dashboard data
Deadline : H+7 kelas
</t>
  </si>
  <si>
    <t>Day-Extra Class 4
Sabtu, 24 Februari 2024
09.00 - 11.30 WIB</t>
  </si>
  <si>
    <t>Spesial Class : gradient boosted trees &amp; ensemble models and Deep Learning</t>
  </si>
  <si>
    <t>1. Penjelasan intuisi gradient boosted trees dan perbandingan terhadap decision tree dan random forest
2. Cara melakukan ensemble models dalam supervised learning
3. Introduction to Deep Learning</t>
  </si>
  <si>
    <t>Class Exercise:
gradient boosted trees &amp; ensemble models with Python
Assignment:
Create Supervised Machine Learning with Python
Deadline: (Individu, dikumpul maksimal H+7 kelas di LMS)</t>
  </si>
  <si>
    <t>Day-Extra Class 5
Minggu, 25 Februari 2024
09.00 - 11.30 WIB</t>
  </si>
  <si>
    <t>Spesial Class : Feature Importance Analysis &amp; Model Interpretation</t>
  </si>
  <si>
    <t>1. What is model interpretation
2. Glass box vs Black box model
3. Various model interpretation techniques
 ◦ Built in sklearn method
 ◦ Partial dependence plot
 ◦ LIME
 ◦ SHAP values</t>
  </si>
  <si>
    <t>Class Exercise:
practicing different feature interpretation methods in trained ML model
Assignment:
practicing different feature interpretation methods in trained ML model
Deadline: (Individu, dikumpul maksimal H+7 kelas di LMS)</t>
  </si>
  <si>
    <t>Day-Extra Class 6
Sabtu, 02 Maret 2024
09.00 - 11.30 WIB</t>
  </si>
  <si>
    <t>Spesial Class : Business Understanding with Data Metrics</t>
  </si>
  <si>
    <t>1. General metrics used in companies: CVR, DAU, MAU, Retention cohort, CAC
2. RootCause/ Fishbone
3. Data Metrics and Growth Frameworks used in real Startups and companies
4. Study Case Business Metrics
5. Translate Data Metrics ke model machine learning</t>
  </si>
  <si>
    <t>Class Exercise:
Aligning modelling objective with business requirements
Assignment:
Translate business requirement ke model machine learning
Deadline: (Individu, dikumpul maksimal H+7 kelas di LMS)</t>
  </si>
  <si>
    <t>Day-Extra Class 7
Minggu, 03 Maret 2024
09.00 - 11.30 WIB</t>
  </si>
  <si>
    <t>Spesial Class : Portofolio Building with Streamlit</t>
  </si>
  <si>
    <t>1. Penjelasan mengenai streamlit
2. Menjelaskan fitur atau bar yang dapat digunakan dalam membangun portfolio dalam streamlit 
3. Step by step building portfolio on streamlit</t>
  </si>
  <si>
    <t>Class Exercise:
Hands on Streamlit
Assignment:
Building Portofolio with Streamlit
Deadline: (Individu, dikumpul maksimal H+7 kelas di LMS)</t>
  </si>
  <si>
    <t>Zoom &amp; Streamlit</t>
  </si>
  <si>
    <t>Day-Graduation
Minggu, 17 Maret 2024
09.00 - 11.30 WIB</t>
  </si>
  <si>
    <t>Pada sesi ini akan diumumkan awards untuk students terbaik yang memenuhi kualifikasi serta pembagian sertifikat dan hal-hal yang perlu disampaikan terkait berakhirnya bootcamp</t>
  </si>
  <si>
    <t>Day-0
Sabtu, 16 September 2023
09.00  - 11.30 WIB</t>
  </si>
  <si>
    <t>Day-Video Learning
Jumat, 22 September 2023
09.00 - 19.00 WIB</t>
  </si>
  <si>
    <t>Day-1
Sabtu, 23 September 2023
09.00 - 11.30 WIB</t>
  </si>
  <si>
    <t>Day-2
Minggu, 24 September 2023
09.00 - 11.30 WIB</t>
  </si>
  <si>
    <t>Day-3
Jumat, 29 September 2023
09.00 - 19.00 WIB</t>
  </si>
  <si>
    <t>Day-4
Sabtu, 30 September 2023
13.00 - 15.30 WIB</t>
  </si>
  <si>
    <t>Day-5
Minggu, 01 Oktober 2023
13.00 - 15.30 WIB</t>
  </si>
  <si>
    <t>1. Data Manipulation Process
2. Data standardization
3. Data transformation
4. Library for Data Manipulation
5. Feature engineering
6. Datetime</t>
  </si>
  <si>
    <t>Day-6
Sabtu, 07 Oktober 2023
09.00 - 11.30 WIB</t>
  </si>
  <si>
    <t>Day-7
Minggu, 08 Oktober 2023
09.00 - 11.30 WIB</t>
  </si>
  <si>
    <t>Day-8
Sabtu, 14 Oktober 2023
13.00 - 15.30 WIB</t>
  </si>
  <si>
    <t>Day-9
Minggu, 15 Oktober 2023
13.00 - 15.30 WIB</t>
  </si>
  <si>
    <t>Day-10
Sabtu, 21 Oktober 2023
13.00 - 15.30 WIB</t>
  </si>
  <si>
    <t>Day-11
Minggu, 22 Oktober 2023
09.00 - 11.30 WIB</t>
  </si>
  <si>
    <t>Day-12
Sabtu, 28 Oktober 2023
13.00 - 15.30 WIB</t>
  </si>
  <si>
    <t>Day-13
Minggu, 29 Oktober 2023
13.00 - 15.30 WIB</t>
  </si>
  <si>
    <t>Day-14
Sabtu, 04 November 2023
09.00 - 11.30 WIB</t>
  </si>
  <si>
    <t>Day-15
Minggu, 05 November 2023
09.00 - 12.00 WIB</t>
  </si>
  <si>
    <t>Day-16
Sabtu, 11 November 2023
09.00 - 11.30 WIB</t>
  </si>
  <si>
    <t>Day-17
Minggu, 12 November 2023
13.00 - 15.30 WIB</t>
  </si>
  <si>
    <t>Day-18
Sabtu, 18 November 2023
13.00 - 16.00 WIB</t>
  </si>
  <si>
    <t>Day-19
Minggu, 19 November 2023
13.00 - 16.00 WIB</t>
  </si>
  <si>
    <t>Day-20
Sabtu, 25 November 2023
09.00 - 11.30 WIB</t>
  </si>
  <si>
    <t>Day-21
Minggu, 26 November 2023
09.00 - 12.00 WIB</t>
  </si>
  <si>
    <t>Day-22
Sabtu, 02 Desember 2023
13.00 - 16.00 WIB</t>
  </si>
  <si>
    <t>Day-23
Minggu, 03 Desember 2023
13.00 - 16.00 WIB</t>
  </si>
  <si>
    <t>Day-24
Sabtu, 09 Desember 2023
09.00 - 11.30 WIB</t>
  </si>
  <si>
    <t>Day-25
Sabtu, 16 Desember 2023
13.00 - 15.30 WIB</t>
  </si>
  <si>
    <t>Day-26
Minggu, 17 Desember 2023
13.00 - 15.30 WIB</t>
  </si>
  <si>
    <t>Day-27
Sabtu, 06 Januari 2024
09.00 - 11.30 WIB</t>
  </si>
  <si>
    <t>Day-28
Minggu, 07 Januari 2024
09.00 - 11.30 WIB</t>
  </si>
  <si>
    <t>Day-29
Sabtu, 13 Januari 2024
09.00 - 11.30 WIB</t>
  </si>
  <si>
    <t>Day-30
Minggu, 14 Januari 2024
09.00 - 11.30 WIB</t>
  </si>
  <si>
    <t>Day-31
Minggu, 21 Januari 2024
23.29 - 23.30 WIB</t>
  </si>
  <si>
    <t>Day-32
Sabtu, 27 Januari 2024
09.00 - 12.00 WIB</t>
  </si>
  <si>
    <t>Day-33
Sabtu, 03 Februari 2024
09.00 - 12.00 WIB</t>
  </si>
  <si>
    <t>Day-34
Sabtu, 10 Februari 2024
09.00 - 11.30 WIB</t>
  </si>
  <si>
    <t>Day-35
Sabtu, 17 Februari 2024
09.00 - 11.30 WIB</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</si>
</sst>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FFFFFF"/>
      <name val="Montserrat"/>
    </font>
    <font>
      <b/>
      <sz val="9.0"/>
      <color theme="1"/>
      <name val="Montserrat"/>
    </font>
    <font>
      <sz val="9.0"/>
      <color rgb="FF000000"/>
      <name val="Montserrat"/>
    </font>
    <font>
      <sz val="9.0"/>
      <color theme="1"/>
      <name val="Montserrat"/>
    </font>
    <font>
      <b/>
      <sz val="9.0"/>
      <color rgb="FF000000"/>
      <name val="Montserrat"/>
    </font>
  </fonts>
  <fills count="7">
    <fill>
      <patternFill patternType="none"/>
    </fill>
    <fill>
      <patternFill patternType="lightGray"/>
    </fill>
    <fill>
      <patternFill patternType="solid">
        <fgColor rgb="FF045870"/>
        <bgColor rgb="FF045870"/>
      </patternFill>
    </fill>
    <fill>
      <patternFill patternType="solid">
        <fgColor theme="0"/>
        <bgColor theme="0"/>
      </patternFill>
    </fill>
    <fill>
      <patternFill patternType="solid">
        <fgColor rgb="FFFFFFFF"/>
        <bgColor rgb="FFFFFFFF"/>
      </patternFill>
    </fill>
    <fill>
      <patternFill patternType="solid">
        <fgColor rgb="FF8ACDE0"/>
        <bgColor rgb="FF8ACDE0"/>
      </patternFill>
    </fill>
    <fill>
      <patternFill patternType="solid">
        <fgColor rgb="FFB4DFEB"/>
        <bgColor rgb="FFB4DFE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3" fontId="2" numFmtId="0" xfId="0" applyAlignment="1" applyBorder="1" applyFill="1" applyFont="1">
      <alignment horizontal="center" shrinkToFit="0" vertical="top" wrapText="1"/>
    </xf>
    <xf borderId="1" fillId="4" fontId="2" numFmtId="0" xfId="0" applyAlignment="1" applyBorder="1" applyFill="1" applyFont="1">
      <alignmen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vertical="top"/>
    </xf>
    <xf borderId="1" fillId="0" fontId="4" numFmtId="0" xfId="0" applyAlignment="1" applyBorder="1" applyFont="1">
      <alignment vertical="top"/>
    </xf>
    <xf borderId="1" fillId="0" fontId="2" numFmtId="0" xfId="0" applyAlignment="1" applyBorder="1" applyFont="1">
      <alignment horizontal="center" readingOrder="0" shrinkToFit="0" vertical="top" wrapText="1"/>
    </xf>
    <xf borderId="1" fillId="0" fontId="5" numFmtId="0" xfId="0" applyAlignment="1" applyBorder="1" applyFont="1">
      <alignment readingOrder="0" shrinkToFit="0" vertical="top" wrapText="1"/>
    </xf>
    <xf borderId="1" fillId="5" fontId="2" numFmtId="0" xfId="0" applyAlignment="1" applyBorder="1" applyFill="1" applyFont="1">
      <alignment horizontal="center" shrinkToFit="0" vertical="top" wrapText="1"/>
    </xf>
    <xf borderId="1" fillId="5" fontId="5" numFmtId="0" xfId="0" applyAlignment="1" applyBorder="1" applyFont="1">
      <alignment readingOrder="0" shrinkToFit="0" vertical="top" wrapText="1"/>
    </xf>
    <xf borderId="1" fillId="5" fontId="3" numFmtId="0" xfId="0" applyAlignment="1" applyBorder="1" applyFont="1">
      <alignment readingOrder="0" shrinkToFit="0" vertical="top" wrapText="1"/>
    </xf>
    <xf borderId="1" fillId="5" fontId="2" numFmtId="0" xfId="0" applyAlignment="1" applyBorder="1" applyFont="1">
      <alignment horizontal="center" readingOrder="0" shrinkToFit="0" vertical="top" wrapText="1"/>
    </xf>
    <xf borderId="1" fillId="5" fontId="2" numFmtId="0" xfId="0" applyAlignment="1" applyBorder="1" applyFont="1">
      <alignment readingOrder="0" shrinkToFit="0" vertical="top" wrapText="1"/>
    </xf>
    <xf borderId="1" fillId="5" fontId="4" numFmtId="0" xfId="0" applyAlignment="1" applyBorder="1" applyFont="1">
      <alignment readingOrder="0" shrinkToFit="0" vertical="top" wrapText="1"/>
    </xf>
    <xf borderId="1" fillId="5" fontId="4" numFmtId="0" xfId="0" applyAlignment="1" applyBorder="1" applyFont="1">
      <alignment shrinkToFit="0" vertical="top" wrapText="1"/>
    </xf>
    <xf borderId="1" fillId="0" fontId="2" numFmtId="0" xfId="0" applyAlignment="1" applyBorder="1" applyFont="1">
      <alignment horizontal="center" shrinkToFit="0" vertical="top" wrapText="1"/>
    </xf>
    <xf borderId="1" fillId="5" fontId="3" numFmtId="0" xfId="0" applyAlignment="1" applyBorder="1" applyFont="1">
      <alignment readingOrder="0" shrinkToFit="0" vertical="top" wrapText="1"/>
    </xf>
    <xf borderId="1" fillId="5" fontId="3" numFmtId="0" xfId="0" applyAlignment="1" applyBorder="1" applyFont="1">
      <alignment shrinkToFit="0" vertical="top" wrapText="1"/>
    </xf>
    <xf borderId="1" fillId="6" fontId="2" numFmtId="0" xfId="0" applyAlignment="1" applyBorder="1" applyFill="1" applyFont="1">
      <alignment horizontal="center" shrinkToFit="0" vertical="top" wrapText="1"/>
    </xf>
    <xf borderId="1" fillId="6" fontId="2" numFmtId="0" xfId="0" applyAlignment="1" applyBorder="1" applyFont="1">
      <alignment readingOrder="0" shrinkToFit="0" vertical="top" wrapText="1"/>
    </xf>
    <xf borderId="1" fillId="6" fontId="4" numFmtId="0" xfId="0" applyAlignment="1" applyBorder="1" applyFont="1">
      <alignment readingOrder="0" shrinkToFit="0" vertical="top" wrapText="1"/>
    </xf>
    <xf borderId="1" fillId="6" fontId="3" numFmtId="0" xfId="0" applyAlignment="1" applyBorder="1" applyFont="1">
      <alignment readingOrder="0" shrinkToFit="0" vertical="top" wrapText="1"/>
    </xf>
    <xf borderId="1" fillId="6" fontId="3" numFmtId="0" xfId="0" applyAlignment="1" applyBorder="1" applyFont="1">
      <alignment readingOrder="0" shrinkToFit="0" vertical="top" wrapText="1"/>
    </xf>
    <xf borderId="1" fillId="5" fontId="4" numFmtId="0" xfId="0" applyAlignment="1" applyBorder="1" applyFont="1">
      <alignment shrinkToFit="0" vertical="top" wrapText="1"/>
    </xf>
    <xf borderId="1" fillId="5" fontId="3" numFmtId="0" xfId="0" applyAlignment="1" applyBorder="1" applyFont="1">
      <alignment readingOrder="0" vertical="top"/>
    </xf>
    <xf borderId="1" fillId="5" fontId="4" numFmtId="0" xfId="0" applyAlignment="1" applyBorder="1" applyFont="1">
      <alignment readingOrder="0" vertical="top"/>
    </xf>
    <xf borderId="1" fillId="5" fontId="2" numFmtId="0" xfId="0" applyAlignment="1" applyBorder="1" applyFont="1">
      <alignment horizontal="left" readingOrder="0" shrinkToFit="0" vertical="top" wrapText="1"/>
    </xf>
    <xf borderId="1" fillId="6" fontId="2" numFmtId="0" xfId="0" applyAlignment="1" applyBorder="1" applyFont="1">
      <alignment horizontal="center" readingOrder="0" shrinkToFit="0" vertical="top" wrapText="1"/>
    </xf>
    <xf borderId="1" fillId="6" fontId="4" numFmtId="0" xfId="0" applyAlignment="1" applyBorder="1" applyFont="1">
      <alignment shrinkToFit="0" vertical="top" wrapText="1"/>
    </xf>
    <xf borderId="1" fillId="5" fontId="5" numFmtId="0" xfId="0" applyAlignment="1" applyBorder="1" applyFont="1">
      <alignment horizontal="center" shrinkToFit="0" vertical="top" wrapText="1"/>
    </xf>
    <xf borderId="1" fillId="5" fontId="5" numFmtId="0" xfId="0" applyAlignment="1" applyBorder="1" applyFont="1">
      <alignment horizontal="center" readingOrder="0" shrinkToFit="0" vertical="top" wrapText="1"/>
    </xf>
    <xf borderId="1" fillId="5" fontId="3" numFmtId="0" xfId="0" applyAlignment="1" applyBorder="1" applyFont="1">
      <alignment vertical="top"/>
    </xf>
    <xf borderId="1" fillId="5" fontId="4" numFmtId="0" xfId="0" applyAlignment="1" applyBorder="1" applyFont="1">
      <alignment vertical="top"/>
    </xf>
    <xf borderId="1" fillId="6" fontId="5" numFmtId="0" xfId="0" applyAlignment="1" applyBorder="1" applyFont="1">
      <alignment horizontal="center" readingOrder="0" shrinkToFit="0" vertical="top" wrapText="1"/>
    </xf>
    <xf borderId="1" fillId="6" fontId="5" numFmtId="0" xfId="0" applyAlignment="1" applyBorder="1" applyFont="1">
      <alignment readingOrder="0" shrinkToFit="0" vertical="top" wrapText="1"/>
    </xf>
    <xf borderId="1" fillId="6" fontId="3" numFmtId="0" xfId="0" applyAlignment="1" applyBorder="1" applyFont="1">
      <alignment shrinkToFit="0" vertical="top" wrapText="1"/>
    </xf>
    <xf borderId="1" fillId="6" fontId="3" numFmtId="0" xfId="0" applyAlignment="1" applyBorder="1" applyFont="1">
      <alignment vertical="top"/>
    </xf>
    <xf borderId="1" fillId="6" fontId="2" numFmtId="0" xfId="0" applyAlignment="1" applyBorder="1" applyFont="1">
      <alignment horizontal="left" readingOrder="0" shrinkToFit="0" vertical="center" wrapText="1"/>
    </xf>
    <xf borderId="1" fillId="6" fontId="3" numFmtId="0" xfId="0" applyAlignment="1" applyBorder="1" applyFont="1">
      <alignment horizontal="left" readingOrder="0" shrinkToFit="0" vertical="center" wrapText="1"/>
    </xf>
    <xf borderId="1" fillId="6" fontId="4" numFmtId="0" xfId="0" applyAlignment="1" applyBorder="1" applyFont="1">
      <alignment horizontal="left" readingOrder="0" shrinkToFit="0" vertical="center" wrapText="1"/>
    </xf>
    <xf borderId="1" fillId="6" fontId="3" numFmtId="0" xfId="0" applyAlignment="1" applyBorder="1" applyFont="1">
      <alignment readingOrder="0" vertical="top"/>
    </xf>
    <xf borderId="1" fillId="6" fontId="4" numFmtId="0" xfId="0" applyAlignment="1" applyBorder="1" applyFont="1">
      <alignment readingOrder="0" vertical="top"/>
    </xf>
    <xf borderId="1" fillId="5" fontId="2" numFmtId="0" xfId="0" applyAlignment="1" applyBorder="1" applyFont="1">
      <alignment horizontal="left" readingOrder="0" shrinkToFit="0" vertical="center" wrapText="1"/>
    </xf>
    <xf borderId="1" fillId="5" fontId="3" numFmtId="0" xfId="0" applyAlignment="1" applyBorder="1" applyFont="1">
      <alignment horizontal="left" readingOrder="0" shrinkToFit="0" vertical="center" wrapText="1"/>
    </xf>
    <xf borderId="1" fillId="5"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kaggle.com/blastchar/telco-customer-churn" TargetMode="External"/><Relationship Id="rId2" Type="http://schemas.openxmlformats.org/officeDocument/2006/relationships/hyperlink" Target="http://dibimbing.id/" TargetMode="External"/><Relationship Id="rId3" Type="http://schemas.openxmlformats.org/officeDocument/2006/relationships/hyperlink" Target="https://www.kaggle.com/blastchar/telco-customer-churn" TargetMode="External"/><Relationship Id="rId4" Type="http://schemas.openxmlformats.org/officeDocument/2006/relationships/hyperlink" Target="https://www.kaggle.com/blastchar/telco-customer-churn" TargetMode="External"/><Relationship Id="rId5" Type="http://schemas.openxmlformats.org/officeDocument/2006/relationships/hyperlink" Target="http://dibimbing.id/"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29.0"/>
    <col customWidth="1" min="3" max="3" width="26.13"/>
    <col customWidth="1" min="4" max="4" width="47.25"/>
    <col customWidth="1" min="5" max="5" width="39.75"/>
    <col customWidth="1" min="6" max="6" width="29.5"/>
  </cols>
  <sheetData>
    <row r="1" ht="40.5" customHeight="1">
      <c r="A1" s="1" t="s">
        <v>0</v>
      </c>
      <c r="B1" s="2" t="s">
        <v>1</v>
      </c>
      <c r="C1" s="2" t="s">
        <v>2</v>
      </c>
      <c r="D1" s="2" t="s">
        <v>3</v>
      </c>
      <c r="E1" s="2" t="s">
        <v>4</v>
      </c>
      <c r="F1" s="1" t="s">
        <v>5</v>
      </c>
    </row>
    <row r="2" ht="39.0" hidden="1" customHeight="1">
      <c r="A2" s="3">
        <v>1.0</v>
      </c>
      <c r="B2" s="4" t="s">
        <v>6</v>
      </c>
      <c r="C2" s="4" t="s">
        <v>7</v>
      </c>
      <c r="D2" s="5" t="s">
        <v>8</v>
      </c>
      <c r="E2" s="6"/>
      <c r="F2" s="7"/>
    </row>
    <row r="3" ht="81.0" hidden="1" customHeight="1">
      <c r="A3" s="8">
        <v>2.0</v>
      </c>
      <c r="B3" s="9" t="s">
        <v>9</v>
      </c>
      <c r="C3" s="9" t="s">
        <v>10</v>
      </c>
      <c r="D3" s="5" t="s">
        <v>11</v>
      </c>
      <c r="E3" s="5"/>
      <c r="F3" s="5"/>
    </row>
    <row r="4" hidden="1">
      <c r="A4" s="10">
        <v>3.0</v>
      </c>
      <c r="B4" s="11" t="s">
        <v>12</v>
      </c>
      <c r="C4" s="11" t="s">
        <v>13</v>
      </c>
      <c r="D4" s="12" t="s">
        <v>14</v>
      </c>
      <c r="E4" s="12" t="s">
        <v>15</v>
      </c>
      <c r="F4" s="12" t="s">
        <v>16</v>
      </c>
    </row>
    <row r="5" hidden="1">
      <c r="A5" s="13">
        <v>4.0</v>
      </c>
      <c r="B5" s="11" t="s">
        <v>17</v>
      </c>
      <c r="C5" s="14" t="s">
        <v>18</v>
      </c>
      <c r="D5" s="15" t="s">
        <v>19</v>
      </c>
      <c r="E5" s="12" t="s">
        <v>20</v>
      </c>
      <c r="F5" s="16" t="s">
        <v>21</v>
      </c>
    </row>
    <row r="6" hidden="1">
      <c r="A6" s="17">
        <v>5.0</v>
      </c>
      <c r="B6" s="9" t="s">
        <v>22</v>
      </c>
      <c r="C6" s="9" t="s">
        <v>23</v>
      </c>
      <c r="D6" s="5" t="s">
        <v>24</v>
      </c>
      <c r="E6" s="5"/>
      <c r="F6" s="5"/>
    </row>
    <row r="7" hidden="1">
      <c r="A7" s="13">
        <v>6.0</v>
      </c>
      <c r="B7" s="11" t="s">
        <v>25</v>
      </c>
      <c r="C7" s="11" t="s">
        <v>26</v>
      </c>
      <c r="D7" s="12" t="s">
        <v>27</v>
      </c>
      <c r="E7" s="12" t="s">
        <v>28</v>
      </c>
      <c r="F7" s="12" t="s">
        <v>29</v>
      </c>
    </row>
    <row r="8" hidden="1">
      <c r="A8" s="10">
        <v>7.0</v>
      </c>
      <c r="B8" s="11" t="s">
        <v>30</v>
      </c>
      <c r="C8" s="14" t="s">
        <v>31</v>
      </c>
      <c r="D8" s="15" t="s">
        <v>32</v>
      </c>
      <c r="E8" s="18" t="s">
        <v>33</v>
      </c>
      <c r="F8" s="15"/>
    </row>
    <row r="9" hidden="1">
      <c r="A9" s="8">
        <v>8.0</v>
      </c>
      <c r="B9" s="9" t="s">
        <v>34</v>
      </c>
      <c r="C9" s="9" t="s">
        <v>35</v>
      </c>
      <c r="D9" s="5" t="s">
        <v>36</v>
      </c>
      <c r="E9" s="5"/>
      <c r="F9" s="5"/>
    </row>
    <row r="10">
      <c r="A10" s="10">
        <v>9.0</v>
      </c>
      <c r="B10" s="14" t="s">
        <v>37</v>
      </c>
      <c r="C10" s="14" t="s">
        <v>38</v>
      </c>
      <c r="D10" s="12" t="s">
        <v>39</v>
      </c>
      <c r="E10" s="19" t="s">
        <v>40</v>
      </c>
      <c r="F10" s="16" t="s">
        <v>29</v>
      </c>
    </row>
    <row r="11">
      <c r="A11" s="13">
        <v>10.0</v>
      </c>
      <c r="B11" s="14" t="s">
        <v>41</v>
      </c>
      <c r="C11" s="14" t="s">
        <v>42</v>
      </c>
      <c r="D11" s="15" t="s">
        <v>43</v>
      </c>
      <c r="E11" s="12" t="s">
        <v>44</v>
      </c>
      <c r="F11" s="15" t="s">
        <v>29</v>
      </c>
    </row>
    <row r="12" hidden="1">
      <c r="A12" s="10">
        <v>11.0</v>
      </c>
      <c r="B12" s="11" t="s">
        <v>45</v>
      </c>
      <c r="C12" s="11" t="s">
        <v>46</v>
      </c>
      <c r="D12" s="12" t="s">
        <v>47</v>
      </c>
      <c r="E12" s="12" t="s">
        <v>48</v>
      </c>
      <c r="F12" s="12" t="s">
        <v>49</v>
      </c>
    </row>
    <row r="13" hidden="1">
      <c r="A13" s="13">
        <v>12.0</v>
      </c>
      <c r="B13" s="14" t="s">
        <v>50</v>
      </c>
      <c r="C13" s="14" t="s">
        <v>51</v>
      </c>
      <c r="D13" s="15" t="s">
        <v>52</v>
      </c>
      <c r="E13" s="18" t="s">
        <v>53</v>
      </c>
      <c r="F13" s="15" t="s">
        <v>16</v>
      </c>
    </row>
    <row r="14" hidden="1">
      <c r="A14" s="20">
        <v>13.0</v>
      </c>
      <c r="B14" s="21" t="s">
        <v>54</v>
      </c>
      <c r="C14" s="21" t="s">
        <v>55</v>
      </c>
      <c r="D14" s="22" t="s">
        <v>56</v>
      </c>
      <c r="E14" s="23"/>
      <c r="F14" s="22"/>
    </row>
    <row r="15">
      <c r="A15" s="13">
        <v>14.0</v>
      </c>
      <c r="B15" s="14" t="s">
        <v>57</v>
      </c>
      <c r="C15" s="14" t="s">
        <v>58</v>
      </c>
      <c r="D15" s="15" t="s">
        <v>59</v>
      </c>
      <c r="E15" s="12" t="s">
        <v>60</v>
      </c>
      <c r="F15" s="15" t="s">
        <v>29</v>
      </c>
    </row>
    <row r="16" hidden="1">
      <c r="A16" s="10">
        <v>15.0</v>
      </c>
      <c r="B16" s="14" t="s">
        <v>61</v>
      </c>
      <c r="C16" s="14" t="s">
        <v>62</v>
      </c>
      <c r="D16" s="15" t="s">
        <v>63</v>
      </c>
      <c r="E16" s="18" t="s">
        <v>64</v>
      </c>
      <c r="F16" s="15" t="s">
        <v>29</v>
      </c>
    </row>
    <row r="17">
      <c r="A17" s="13">
        <v>16.0</v>
      </c>
      <c r="B17" s="14" t="s">
        <v>65</v>
      </c>
      <c r="C17" s="14" t="s">
        <v>66</v>
      </c>
      <c r="D17" s="15" t="s">
        <v>67</v>
      </c>
      <c r="E17" s="12" t="s">
        <v>68</v>
      </c>
      <c r="F17" s="15" t="s">
        <v>69</v>
      </c>
    </row>
    <row r="18" hidden="1">
      <c r="A18" s="10">
        <v>17.0</v>
      </c>
      <c r="B18" s="14" t="s">
        <v>70</v>
      </c>
      <c r="C18" s="14" t="s">
        <v>71</v>
      </c>
      <c r="D18" s="15" t="s">
        <v>72</v>
      </c>
      <c r="E18" s="12" t="s">
        <v>73</v>
      </c>
      <c r="F18" s="15" t="s">
        <v>29</v>
      </c>
    </row>
    <row r="19">
      <c r="A19" s="13">
        <v>18.0</v>
      </c>
      <c r="B19" s="14" t="s">
        <v>74</v>
      </c>
      <c r="C19" s="14" t="s">
        <v>75</v>
      </c>
      <c r="D19" s="15" t="s">
        <v>76</v>
      </c>
      <c r="E19" s="12" t="s">
        <v>77</v>
      </c>
      <c r="F19" s="15" t="s">
        <v>29</v>
      </c>
    </row>
    <row r="20" hidden="1">
      <c r="A20" s="10">
        <v>19.0</v>
      </c>
      <c r="B20" s="14" t="s">
        <v>78</v>
      </c>
      <c r="C20" s="14" t="s">
        <v>79</v>
      </c>
      <c r="D20" s="15" t="s">
        <v>80</v>
      </c>
      <c r="E20" s="18" t="s">
        <v>81</v>
      </c>
      <c r="F20" s="15" t="s">
        <v>49</v>
      </c>
    </row>
    <row r="21" hidden="1">
      <c r="A21" s="13">
        <v>20.0</v>
      </c>
      <c r="B21" s="14" t="s">
        <v>82</v>
      </c>
      <c r="C21" s="14" t="s">
        <v>83</v>
      </c>
      <c r="D21" s="15" t="s">
        <v>84</v>
      </c>
      <c r="E21" s="12" t="s">
        <v>85</v>
      </c>
      <c r="F21" s="15" t="s">
        <v>49</v>
      </c>
    </row>
    <row r="22" hidden="1">
      <c r="A22" s="20">
        <v>21.0</v>
      </c>
      <c r="B22" s="21" t="s">
        <v>86</v>
      </c>
      <c r="C22" s="21" t="s">
        <v>87</v>
      </c>
      <c r="D22" s="22" t="s">
        <v>88</v>
      </c>
      <c r="E22" s="24"/>
      <c r="F22" s="22"/>
    </row>
    <row r="23" hidden="1">
      <c r="A23" s="13">
        <v>22.0</v>
      </c>
      <c r="B23" s="14" t="s">
        <v>89</v>
      </c>
      <c r="C23" s="14" t="s">
        <v>90</v>
      </c>
      <c r="D23" s="15" t="s">
        <v>91</v>
      </c>
      <c r="E23" s="12" t="s">
        <v>92</v>
      </c>
      <c r="F23" s="15" t="s">
        <v>49</v>
      </c>
    </row>
    <row r="24">
      <c r="A24" s="10">
        <v>23.0</v>
      </c>
      <c r="B24" s="11" t="s">
        <v>93</v>
      </c>
      <c r="C24" s="11" t="s">
        <v>94</v>
      </c>
      <c r="D24" s="12" t="s">
        <v>95</v>
      </c>
      <c r="E24" s="12" t="s">
        <v>96</v>
      </c>
      <c r="F24" s="12" t="s">
        <v>29</v>
      </c>
    </row>
    <row r="25" hidden="1">
      <c r="A25" s="13">
        <v>24.0</v>
      </c>
      <c r="B25" s="14" t="s">
        <v>97</v>
      </c>
      <c r="C25" s="14" t="s">
        <v>98</v>
      </c>
      <c r="D25" s="12" t="s">
        <v>99</v>
      </c>
      <c r="E25" s="12"/>
      <c r="F25" s="16"/>
    </row>
    <row r="26" hidden="1">
      <c r="A26" s="10">
        <v>25.0</v>
      </c>
      <c r="B26" s="14" t="s">
        <v>100</v>
      </c>
      <c r="C26" s="14" t="s">
        <v>101</v>
      </c>
      <c r="D26" s="12" t="s">
        <v>102</v>
      </c>
      <c r="E26" s="12"/>
      <c r="F26" s="25"/>
    </row>
    <row r="27">
      <c r="A27" s="13">
        <v>26.0</v>
      </c>
      <c r="B27" s="14" t="s">
        <v>103</v>
      </c>
      <c r="C27" s="14" t="s">
        <v>104</v>
      </c>
      <c r="D27" s="15" t="s">
        <v>105</v>
      </c>
      <c r="E27" s="26" t="s">
        <v>106</v>
      </c>
      <c r="F27" s="27" t="s">
        <v>29</v>
      </c>
    </row>
    <row r="28">
      <c r="A28" s="10">
        <v>27.0</v>
      </c>
      <c r="B28" s="14" t="s">
        <v>107</v>
      </c>
      <c r="C28" s="14" t="s">
        <v>108</v>
      </c>
      <c r="D28" s="12" t="s">
        <v>109</v>
      </c>
      <c r="E28" s="12" t="s">
        <v>106</v>
      </c>
      <c r="F28" s="27" t="s">
        <v>29</v>
      </c>
    </row>
    <row r="29">
      <c r="A29" s="13">
        <v>28.0</v>
      </c>
      <c r="B29" s="28" t="s">
        <v>110</v>
      </c>
      <c r="C29" s="14" t="s">
        <v>111</v>
      </c>
      <c r="D29" s="15" t="s">
        <v>112</v>
      </c>
      <c r="E29" s="26" t="s">
        <v>113</v>
      </c>
      <c r="F29" s="27" t="s">
        <v>29</v>
      </c>
    </row>
    <row r="30" hidden="1">
      <c r="A30" s="10">
        <v>29.0</v>
      </c>
      <c r="B30" s="14" t="s">
        <v>114</v>
      </c>
      <c r="C30" s="14" t="s">
        <v>115</v>
      </c>
      <c r="D30" s="12" t="s">
        <v>116</v>
      </c>
      <c r="E30" s="12" t="s">
        <v>117</v>
      </c>
      <c r="F30" s="15" t="s">
        <v>16</v>
      </c>
    </row>
    <row r="31" hidden="1">
      <c r="A31" s="29">
        <v>30.0</v>
      </c>
      <c r="B31" s="21" t="s">
        <v>118</v>
      </c>
      <c r="C31" s="21" t="s">
        <v>119</v>
      </c>
      <c r="D31" s="24" t="s">
        <v>88</v>
      </c>
      <c r="E31" s="24"/>
      <c r="F31" s="30"/>
    </row>
    <row r="32" hidden="1">
      <c r="A32" s="10">
        <v>31.0</v>
      </c>
      <c r="B32" s="14" t="s">
        <v>120</v>
      </c>
      <c r="C32" s="14" t="s">
        <v>121</v>
      </c>
      <c r="D32" s="15" t="s">
        <v>122</v>
      </c>
      <c r="E32" s="12" t="s">
        <v>123</v>
      </c>
      <c r="F32" s="15" t="s">
        <v>124</v>
      </c>
    </row>
    <row r="33" hidden="1">
      <c r="A33" s="13">
        <v>32.0</v>
      </c>
      <c r="B33" s="14" t="s">
        <v>125</v>
      </c>
      <c r="C33" s="14" t="s">
        <v>126</v>
      </c>
      <c r="D33" s="12" t="s">
        <v>127</v>
      </c>
      <c r="E33" s="12" t="s">
        <v>128</v>
      </c>
      <c r="F33" s="16" t="s">
        <v>124</v>
      </c>
    </row>
    <row r="34" hidden="1">
      <c r="A34" s="31">
        <v>33.0</v>
      </c>
      <c r="B34" s="11" t="s">
        <v>129</v>
      </c>
      <c r="C34" s="11" t="s">
        <v>130</v>
      </c>
      <c r="D34" s="12" t="s">
        <v>131</v>
      </c>
      <c r="E34" s="12" t="s">
        <v>132</v>
      </c>
      <c r="F34" s="12" t="s">
        <v>124</v>
      </c>
    </row>
    <row r="35" hidden="1">
      <c r="A35" s="32">
        <v>34.0</v>
      </c>
      <c r="B35" s="11" t="s">
        <v>133</v>
      </c>
      <c r="C35" s="11" t="s">
        <v>134</v>
      </c>
      <c r="D35" s="12" t="s">
        <v>135</v>
      </c>
      <c r="E35" s="12" t="s">
        <v>136</v>
      </c>
      <c r="F35" s="12" t="s">
        <v>137</v>
      </c>
    </row>
    <row r="36">
      <c r="A36" s="10">
        <v>35.0</v>
      </c>
      <c r="B36" s="14" t="s">
        <v>138</v>
      </c>
      <c r="C36" s="14" t="s">
        <v>139</v>
      </c>
      <c r="D36" s="15" t="s">
        <v>140</v>
      </c>
      <c r="E36" s="33" t="s">
        <v>141</v>
      </c>
      <c r="F36" s="34" t="s">
        <v>16</v>
      </c>
    </row>
    <row r="37" hidden="1">
      <c r="A37" s="32">
        <v>36.0</v>
      </c>
      <c r="B37" s="11" t="s">
        <v>142</v>
      </c>
      <c r="C37" s="11" t="s">
        <v>143</v>
      </c>
      <c r="D37" s="12" t="s">
        <v>144</v>
      </c>
      <c r="E37" s="12"/>
      <c r="F37" s="12"/>
    </row>
    <row r="38" hidden="1">
      <c r="A38" s="10">
        <v>37.0</v>
      </c>
      <c r="B38" s="14" t="s">
        <v>145</v>
      </c>
      <c r="C38" s="14" t="s">
        <v>146</v>
      </c>
      <c r="D38" s="15"/>
      <c r="E38" s="26"/>
      <c r="F38" s="27"/>
    </row>
    <row r="39" hidden="1">
      <c r="A39" s="32">
        <v>38.0</v>
      </c>
      <c r="B39" s="11" t="s">
        <v>147</v>
      </c>
      <c r="C39" s="11" t="s">
        <v>148</v>
      </c>
      <c r="D39" s="12" t="s">
        <v>149</v>
      </c>
      <c r="E39" s="12" t="s">
        <v>150</v>
      </c>
      <c r="F39" s="12" t="s">
        <v>16</v>
      </c>
    </row>
    <row r="40" hidden="1">
      <c r="A40" s="31">
        <v>39.0</v>
      </c>
      <c r="B40" s="11" t="s">
        <v>151</v>
      </c>
      <c r="C40" s="11" t="s">
        <v>152</v>
      </c>
      <c r="D40" s="12" t="s">
        <v>153</v>
      </c>
      <c r="E40" s="12" t="s">
        <v>154</v>
      </c>
      <c r="F40" s="12" t="s">
        <v>16</v>
      </c>
    </row>
    <row r="41" hidden="1">
      <c r="A41" s="13">
        <v>40.0</v>
      </c>
      <c r="B41" s="14" t="s">
        <v>155</v>
      </c>
      <c r="C41" s="14" t="s">
        <v>156</v>
      </c>
      <c r="D41" s="12" t="s">
        <v>157</v>
      </c>
      <c r="E41" s="12" t="s">
        <v>158</v>
      </c>
      <c r="F41" s="16" t="s">
        <v>159</v>
      </c>
    </row>
    <row r="42" hidden="1">
      <c r="A42" s="10">
        <v>41.0</v>
      </c>
      <c r="B42" s="14" t="s">
        <v>160</v>
      </c>
      <c r="C42" s="14" t="s">
        <v>161</v>
      </c>
      <c r="D42" s="12" t="s">
        <v>162</v>
      </c>
      <c r="E42" s="12" t="s">
        <v>15</v>
      </c>
      <c r="F42" s="15" t="s">
        <v>15</v>
      </c>
    </row>
    <row r="43" hidden="1">
      <c r="A43" s="35">
        <v>42.0</v>
      </c>
      <c r="B43" s="36" t="s">
        <v>163</v>
      </c>
      <c r="C43" s="36" t="s">
        <v>164</v>
      </c>
      <c r="D43" s="24" t="s">
        <v>165</v>
      </c>
      <c r="E43" s="37" t="s">
        <v>166</v>
      </c>
      <c r="F43" s="37" t="s">
        <v>167</v>
      </c>
    </row>
    <row r="44" hidden="1">
      <c r="A44" s="20">
        <v>43.0</v>
      </c>
      <c r="B44" s="21" t="s">
        <v>168</v>
      </c>
      <c r="C44" s="21" t="s">
        <v>169</v>
      </c>
      <c r="D44" s="37" t="s">
        <v>170</v>
      </c>
      <c r="E44" s="24" t="s">
        <v>171</v>
      </c>
      <c r="F44" s="30" t="s">
        <v>172</v>
      </c>
    </row>
    <row r="45">
      <c r="A45" s="35">
        <v>44.0</v>
      </c>
      <c r="B45" s="36" t="s">
        <v>173</v>
      </c>
      <c r="C45" s="36" t="s">
        <v>174</v>
      </c>
      <c r="D45" s="24" t="s">
        <v>175</v>
      </c>
      <c r="E45" s="38" t="s">
        <v>176</v>
      </c>
      <c r="F45" s="38" t="s">
        <v>172</v>
      </c>
    </row>
    <row r="46">
      <c r="A46" s="20">
        <v>45.0</v>
      </c>
      <c r="B46" s="21" t="s">
        <v>177</v>
      </c>
      <c r="C46" s="39" t="s">
        <v>178</v>
      </c>
      <c r="D46" s="40" t="s">
        <v>179</v>
      </c>
      <c r="E46" s="40" t="s">
        <v>180</v>
      </c>
      <c r="F46" s="41" t="s">
        <v>29</v>
      </c>
    </row>
    <row r="47">
      <c r="A47" s="35">
        <v>46.0</v>
      </c>
      <c r="B47" s="36" t="s">
        <v>181</v>
      </c>
      <c r="C47" s="36" t="s">
        <v>182</v>
      </c>
      <c r="D47" s="24" t="s">
        <v>183</v>
      </c>
      <c r="E47" s="42" t="s">
        <v>184</v>
      </c>
      <c r="F47" s="42" t="s">
        <v>167</v>
      </c>
    </row>
    <row r="48">
      <c r="A48" s="20">
        <v>47.0</v>
      </c>
      <c r="B48" s="21" t="s">
        <v>185</v>
      </c>
      <c r="C48" s="21" t="s">
        <v>186</v>
      </c>
      <c r="D48" s="24" t="s">
        <v>187</v>
      </c>
      <c r="E48" s="24" t="s">
        <v>188</v>
      </c>
      <c r="F48" s="22" t="s">
        <v>167</v>
      </c>
    </row>
    <row r="49">
      <c r="A49" s="29">
        <v>48.0</v>
      </c>
      <c r="B49" s="21" t="s">
        <v>189</v>
      </c>
      <c r="C49" s="21" t="s">
        <v>190</v>
      </c>
      <c r="D49" s="24" t="s">
        <v>191</v>
      </c>
      <c r="E49" s="42" t="s">
        <v>192</v>
      </c>
      <c r="F49" s="43" t="s">
        <v>193</v>
      </c>
    </row>
    <row r="50" hidden="1">
      <c r="A50" s="20">
        <v>49.0</v>
      </c>
      <c r="B50" s="21" t="s">
        <v>194</v>
      </c>
      <c r="C50" s="21" t="s">
        <v>161</v>
      </c>
      <c r="D50" s="24" t="s">
        <v>195</v>
      </c>
      <c r="E50" s="24"/>
      <c r="F50" s="2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29.0"/>
    <col customWidth="1" min="3" max="3" width="26.13"/>
    <col customWidth="1" min="4" max="4" width="47.25"/>
    <col customWidth="1" min="5" max="5" width="39.75"/>
    <col customWidth="1" min="6" max="6" width="29.5"/>
  </cols>
  <sheetData>
    <row r="1" ht="40.5" customHeight="1">
      <c r="A1" s="1" t="s">
        <v>0</v>
      </c>
      <c r="B1" s="2" t="s">
        <v>1</v>
      </c>
      <c r="C1" s="2" t="s">
        <v>2</v>
      </c>
      <c r="D1" s="2" t="s">
        <v>3</v>
      </c>
      <c r="E1" s="2" t="s">
        <v>4</v>
      </c>
      <c r="F1" s="1" t="s">
        <v>5</v>
      </c>
    </row>
    <row r="2" ht="39.0" customHeight="1">
      <c r="A2" s="3">
        <v>1.0</v>
      </c>
      <c r="B2" s="4" t="s">
        <v>196</v>
      </c>
      <c r="C2" s="4" t="s">
        <v>7</v>
      </c>
      <c r="D2" s="5" t="s">
        <v>8</v>
      </c>
      <c r="E2" s="6"/>
      <c r="F2" s="7"/>
    </row>
    <row r="3" ht="81.0" customHeight="1">
      <c r="A3" s="8">
        <v>2.0</v>
      </c>
      <c r="B3" s="9" t="s">
        <v>197</v>
      </c>
      <c r="C3" s="9" t="s">
        <v>10</v>
      </c>
      <c r="D3" s="5" t="s">
        <v>11</v>
      </c>
      <c r="E3" s="5"/>
      <c r="F3" s="5"/>
    </row>
    <row r="4">
      <c r="A4" s="10">
        <v>3.0</v>
      </c>
      <c r="B4" s="11" t="s">
        <v>198</v>
      </c>
      <c r="C4" s="11" t="s">
        <v>13</v>
      </c>
      <c r="D4" s="12" t="s">
        <v>14</v>
      </c>
      <c r="E4" s="12" t="s">
        <v>15</v>
      </c>
      <c r="F4" s="12" t="s">
        <v>16</v>
      </c>
    </row>
    <row r="5">
      <c r="A5" s="13">
        <v>4.0</v>
      </c>
      <c r="B5" s="11" t="s">
        <v>199</v>
      </c>
      <c r="C5" s="14" t="s">
        <v>18</v>
      </c>
      <c r="D5" s="15" t="s">
        <v>19</v>
      </c>
      <c r="E5" s="12" t="s">
        <v>20</v>
      </c>
      <c r="F5" s="16" t="s">
        <v>21</v>
      </c>
    </row>
    <row r="6">
      <c r="A6" s="17">
        <v>5.0</v>
      </c>
      <c r="B6" s="9" t="s">
        <v>200</v>
      </c>
      <c r="C6" s="9" t="s">
        <v>23</v>
      </c>
      <c r="D6" s="5" t="s">
        <v>24</v>
      </c>
      <c r="E6" s="5"/>
      <c r="F6" s="5"/>
    </row>
    <row r="7">
      <c r="A7" s="13">
        <v>6.0</v>
      </c>
      <c r="B7" s="11" t="s">
        <v>34</v>
      </c>
      <c r="C7" s="11" t="s">
        <v>35</v>
      </c>
      <c r="D7" s="12" t="s">
        <v>36</v>
      </c>
      <c r="E7" s="12"/>
      <c r="F7" s="12"/>
    </row>
    <row r="8">
      <c r="A8" s="10">
        <v>7.0</v>
      </c>
      <c r="B8" s="11" t="s">
        <v>201</v>
      </c>
      <c r="C8" s="14" t="s">
        <v>26</v>
      </c>
      <c r="D8" s="15" t="s">
        <v>27</v>
      </c>
      <c r="E8" s="18" t="s">
        <v>28</v>
      </c>
      <c r="F8" s="15" t="s">
        <v>29</v>
      </c>
    </row>
    <row r="9">
      <c r="A9" s="8">
        <v>8.0</v>
      </c>
      <c r="B9" s="9" t="s">
        <v>202</v>
      </c>
      <c r="C9" s="9" t="s">
        <v>31</v>
      </c>
      <c r="D9" s="5" t="s">
        <v>32</v>
      </c>
      <c r="E9" s="5" t="s">
        <v>33</v>
      </c>
      <c r="F9" s="5"/>
    </row>
    <row r="10">
      <c r="A10" s="10"/>
      <c r="B10" s="14"/>
      <c r="C10" s="14" t="s">
        <v>42</v>
      </c>
      <c r="D10" s="15" t="s">
        <v>203</v>
      </c>
      <c r="E10" s="12" t="s">
        <v>44</v>
      </c>
      <c r="F10" s="15" t="s">
        <v>29</v>
      </c>
    </row>
    <row r="11">
      <c r="A11" s="10">
        <v>9.0</v>
      </c>
      <c r="B11" s="14" t="s">
        <v>204</v>
      </c>
      <c r="C11" s="14" t="s">
        <v>38</v>
      </c>
      <c r="D11" s="12" t="s">
        <v>39</v>
      </c>
      <c r="E11" s="19" t="s">
        <v>40</v>
      </c>
      <c r="F11" s="16" t="s">
        <v>29</v>
      </c>
    </row>
    <row r="12">
      <c r="A12" s="13">
        <v>10.0</v>
      </c>
      <c r="B12" s="14" t="s">
        <v>205</v>
      </c>
      <c r="C12" s="14" t="s">
        <v>42</v>
      </c>
      <c r="D12" s="15" t="s">
        <v>43</v>
      </c>
      <c r="E12" s="12" t="s">
        <v>44</v>
      </c>
      <c r="F12" s="15" t="s">
        <v>29</v>
      </c>
    </row>
    <row r="13">
      <c r="A13" s="10">
        <v>11.0</v>
      </c>
      <c r="B13" s="11" t="s">
        <v>206</v>
      </c>
      <c r="C13" s="11" t="s">
        <v>46</v>
      </c>
      <c r="D13" s="12" t="s">
        <v>47</v>
      </c>
      <c r="E13" s="12" t="s">
        <v>48</v>
      </c>
      <c r="F13" s="12" t="s">
        <v>49</v>
      </c>
    </row>
    <row r="14">
      <c r="A14" s="13">
        <v>12.0</v>
      </c>
      <c r="B14" s="14" t="s">
        <v>207</v>
      </c>
      <c r="C14" s="14" t="s">
        <v>51</v>
      </c>
      <c r="D14" s="15" t="s">
        <v>52</v>
      </c>
      <c r="E14" s="18" t="s">
        <v>53</v>
      </c>
      <c r="F14" s="15" t="s">
        <v>16</v>
      </c>
    </row>
    <row r="15">
      <c r="A15" s="10">
        <v>13.0</v>
      </c>
      <c r="B15" s="14" t="s">
        <v>208</v>
      </c>
      <c r="C15" s="14" t="s">
        <v>58</v>
      </c>
      <c r="D15" s="15" t="s">
        <v>59</v>
      </c>
      <c r="E15" s="12" t="s">
        <v>60</v>
      </c>
      <c r="F15" s="15" t="s">
        <v>29</v>
      </c>
    </row>
    <row r="16">
      <c r="A16" s="13">
        <v>14.0</v>
      </c>
      <c r="B16" s="14" t="s">
        <v>209</v>
      </c>
      <c r="C16" s="14" t="s">
        <v>62</v>
      </c>
      <c r="D16" s="15" t="s">
        <v>63</v>
      </c>
      <c r="E16" s="18" t="s">
        <v>64</v>
      </c>
      <c r="F16" s="15" t="s">
        <v>29</v>
      </c>
    </row>
    <row r="17">
      <c r="A17" s="10">
        <v>15.0</v>
      </c>
      <c r="B17" s="14" t="s">
        <v>210</v>
      </c>
      <c r="C17" s="14" t="s">
        <v>66</v>
      </c>
      <c r="D17" s="15" t="s">
        <v>67</v>
      </c>
      <c r="E17" s="12" t="s">
        <v>68</v>
      </c>
      <c r="F17" s="15" t="s">
        <v>69</v>
      </c>
    </row>
    <row r="18">
      <c r="A18" s="13">
        <v>16.0</v>
      </c>
      <c r="B18" s="14" t="s">
        <v>211</v>
      </c>
      <c r="C18" s="14" t="s">
        <v>71</v>
      </c>
      <c r="D18" s="15" t="s">
        <v>72</v>
      </c>
      <c r="E18" s="12" t="s">
        <v>73</v>
      </c>
      <c r="F18" s="15" t="s">
        <v>29</v>
      </c>
    </row>
    <row r="19">
      <c r="A19" s="10">
        <v>17.0</v>
      </c>
      <c r="B19" s="14" t="s">
        <v>212</v>
      </c>
      <c r="C19" s="14" t="s">
        <v>75</v>
      </c>
      <c r="D19" s="15" t="s">
        <v>76</v>
      </c>
      <c r="E19" s="12" t="s">
        <v>77</v>
      </c>
      <c r="F19" s="15" t="s">
        <v>29</v>
      </c>
    </row>
    <row r="20">
      <c r="A20" s="13">
        <v>18.0</v>
      </c>
      <c r="B20" s="14" t="s">
        <v>213</v>
      </c>
      <c r="C20" s="14" t="s">
        <v>79</v>
      </c>
      <c r="D20" s="15" t="s">
        <v>80</v>
      </c>
      <c r="E20" s="18" t="s">
        <v>81</v>
      </c>
      <c r="F20" s="15" t="s">
        <v>49</v>
      </c>
    </row>
    <row r="21">
      <c r="A21" s="10">
        <v>19.0</v>
      </c>
      <c r="B21" s="14" t="s">
        <v>214</v>
      </c>
      <c r="C21" s="14" t="s">
        <v>83</v>
      </c>
      <c r="D21" s="15" t="s">
        <v>84</v>
      </c>
      <c r="E21" s="12" t="s">
        <v>85</v>
      </c>
      <c r="F21" s="15" t="s">
        <v>49</v>
      </c>
    </row>
    <row r="22">
      <c r="A22" s="13">
        <v>20.0</v>
      </c>
      <c r="B22" s="14" t="s">
        <v>215</v>
      </c>
      <c r="C22" s="14" t="s">
        <v>90</v>
      </c>
      <c r="D22" s="15" t="s">
        <v>91</v>
      </c>
      <c r="E22" s="12" t="s">
        <v>92</v>
      </c>
      <c r="F22" s="15" t="s">
        <v>49</v>
      </c>
    </row>
    <row r="23">
      <c r="A23" s="10">
        <v>21.0</v>
      </c>
      <c r="B23" s="11" t="s">
        <v>216</v>
      </c>
      <c r="C23" s="11" t="s">
        <v>94</v>
      </c>
      <c r="D23" s="12" t="s">
        <v>95</v>
      </c>
      <c r="E23" s="12" t="s">
        <v>96</v>
      </c>
      <c r="F23" s="12" t="s">
        <v>29</v>
      </c>
    </row>
    <row r="24">
      <c r="A24" s="13">
        <v>22.0</v>
      </c>
      <c r="B24" s="14" t="s">
        <v>217</v>
      </c>
      <c r="C24" s="14" t="s">
        <v>98</v>
      </c>
      <c r="D24" s="12" t="s">
        <v>99</v>
      </c>
      <c r="E24" s="12"/>
      <c r="F24" s="16"/>
    </row>
    <row r="25">
      <c r="A25" s="10">
        <v>23.0</v>
      </c>
      <c r="B25" s="14" t="s">
        <v>218</v>
      </c>
      <c r="C25" s="14" t="s">
        <v>101</v>
      </c>
      <c r="D25" s="12" t="s">
        <v>102</v>
      </c>
      <c r="E25" s="12"/>
      <c r="F25" s="25"/>
    </row>
    <row r="26">
      <c r="A26" s="13">
        <v>24.0</v>
      </c>
      <c r="B26" s="14" t="s">
        <v>219</v>
      </c>
      <c r="C26" s="14" t="s">
        <v>104</v>
      </c>
      <c r="D26" s="15" t="s">
        <v>105</v>
      </c>
      <c r="E26" s="26" t="s">
        <v>106</v>
      </c>
      <c r="F26" s="27" t="s">
        <v>29</v>
      </c>
    </row>
    <row r="27">
      <c r="A27" s="10">
        <v>25.0</v>
      </c>
      <c r="B27" s="14" t="s">
        <v>220</v>
      </c>
      <c r="C27" s="14" t="s">
        <v>108</v>
      </c>
      <c r="D27" s="12" t="s">
        <v>109</v>
      </c>
      <c r="E27" s="12" t="s">
        <v>106</v>
      </c>
      <c r="F27" s="27" t="s">
        <v>29</v>
      </c>
    </row>
    <row r="28">
      <c r="A28" s="13">
        <v>26.0</v>
      </c>
      <c r="B28" s="28" t="s">
        <v>221</v>
      </c>
      <c r="C28" s="14" t="s">
        <v>111</v>
      </c>
      <c r="D28" s="15" t="s">
        <v>112</v>
      </c>
      <c r="E28" s="26" t="s">
        <v>113</v>
      </c>
      <c r="F28" s="27" t="s">
        <v>29</v>
      </c>
    </row>
    <row r="29">
      <c r="A29" s="10">
        <v>27.0</v>
      </c>
      <c r="B29" s="14" t="s">
        <v>222</v>
      </c>
      <c r="C29" s="14" t="s">
        <v>115</v>
      </c>
      <c r="D29" s="12" t="s">
        <v>116</v>
      </c>
      <c r="E29" s="12" t="s">
        <v>117</v>
      </c>
      <c r="F29" s="15" t="s">
        <v>16</v>
      </c>
    </row>
    <row r="30">
      <c r="A30" s="13">
        <v>28.0</v>
      </c>
      <c r="B30" s="14" t="s">
        <v>223</v>
      </c>
      <c r="C30" s="14" t="s">
        <v>121</v>
      </c>
      <c r="D30" s="15" t="s">
        <v>122</v>
      </c>
      <c r="E30" s="12" t="s">
        <v>123</v>
      </c>
      <c r="F30" s="15" t="s">
        <v>124</v>
      </c>
    </row>
    <row r="31">
      <c r="A31" s="10">
        <v>29.0</v>
      </c>
      <c r="B31" s="14" t="s">
        <v>224</v>
      </c>
      <c r="C31" s="14" t="s">
        <v>126</v>
      </c>
      <c r="D31" s="12" t="s">
        <v>127</v>
      </c>
      <c r="E31" s="12" t="s">
        <v>128</v>
      </c>
      <c r="F31" s="16" t="s">
        <v>124</v>
      </c>
    </row>
    <row r="32">
      <c r="A32" s="13">
        <v>30.0</v>
      </c>
      <c r="B32" s="11" t="s">
        <v>225</v>
      </c>
      <c r="C32" s="11" t="s">
        <v>130</v>
      </c>
      <c r="D32" s="12" t="s">
        <v>131</v>
      </c>
      <c r="E32" s="12" t="s">
        <v>132</v>
      </c>
      <c r="F32" s="12" t="s">
        <v>124</v>
      </c>
    </row>
    <row r="33">
      <c r="A33" s="10">
        <v>31.0</v>
      </c>
      <c r="B33" s="11" t="s">
        <v>226</v>
      </c>
      <c r="C33" s="11" t="s">
        <v>134</v>
      </c>
      <c r="D33" s="12" t="s">
        <v>135</v>
      </c>
      <c r="E33" s="12" t="s">
        <v>136</v>
      </c>
      <c r="F33" s="12" t="s">
        <v>137</v>
      </c>
    </row>
    <row r="34">
      <c r="A34" s="13">
        <v>32.0</v>
      </c>
      <c r="B34" s="14" t="s">
        <v>227</v>
      </c>
      <c r="C34" s="14" t="s">
        <v>139</v>
      </c>
      <c r="D34" s="15" t="s">
        <v>140</v>
      </c>
      <c r="E34" s="33" t="s">
        <v>141</v>
      </c>
      <c r="F34" s="34" t="s">
        <v>16</v>
      </c>
    </row>
    <row r="35">
      <c r="A35" s="10">
        <v>33.0</v>
      </c>
      <c r="B35" s="11" t="s">
        <v>228</v>
      </c>
      <c r="C35" s="11" t="s">
        <v>143</v>
      </c>
      <c r="D35" s="12" t="s">
        <v>144</v>
      </c>
      <c r="E35" s="12"/>
      <c r="F35" s="12"/>
    </row>
    <row r="36">
      <c r="A36" s="13">
        <v>34.0</v>
      </c>
      <c r="B36" s="14" t="s">
        <v>229</v>
      </c>
      <c r="C36" s="14" t="s">
        <v>146</v>
      </c>
      <c r="D36" s="15"/>
      <c r="E36" s="26"/>
      <c r="F36" s="27"/>
    </row>
    <row r="37">
      <c r="A37" s="10">
        <v>35.0</v>
      </c>
      <c r="B37" s="11" t="s">
        <v>230</v>
      </c>
      <c r="C37" s="11" t="s">
        <v>148</v>
      </c>
      <c r="D37" s="12" t="s">
        <v>149</v>
      </c>
      <c r="E37" s="12" t="s">
        <v>150</v>
      </c>
      <c r="F37" s="12" t="s">
        <v>16</v>
      </c>
    </row>
    <row r="38">
      <c r="A38" s="13">
        <v>36.0</v>
      </c>
      <c r="B38" s="11" t="s">
        <v>231</v>
      </c>
      <c r="C38" s="11" t="s">
        <v>152</v>
      </c>
      <c r="D38" s="12" t="s">
        <v>153</v>
      </c>
      <c r="E38" s="12" t="s">
        <v>154</v>
      </c>
      <c r="F38" s="12" t="s">
        <v>16</v>
      </c>
    </row>
    <row r="39">
      <c r="A39" s="10">
        <v>37.0</v>
      </c>
      <c r="B39" s="14" t="s">
        <v>232</v>
      </c>
      <c r="C39" s="14" t="s">
        <v>156</v>
      </c>
      <c r="D39" s="12" t="s">
        <v>157</v>
      </c>
      <c r="E39" s="12" t="s">
        <v>158</v>
      </c>
      <c r="F39" s="16" t="s">
        <v>159</v>
      </c>
    </row>
    <row r="40">
      <c r="A40" s="13">
        <v>38.0</v>
      </c>
      <c r="B40" s="14" t="s">
        <v>233</v>
      </c>
      <c r="C40" s="14" t="s">
        <v>161</v>
      </c>
      <c r="D40" s="12" t="s">
        <v>162</v>
      </c>
      <c r="E40" s="12" t="s">
        <v>15</v>
      </c>
      <c r="F40" s="15"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29.0"/>
    <col customWidth="1" min="3" max="3" width="26.13"/>
    <col customWidth="1" min="4" max="4" width="47.25"/>
    <col customWidth="1" min="5" max="5" width="39.75"/>
    <col customWidth="1" min="6" max="6" width="29.5"/>
  </cols>
  <sheetData>
    <row r="1" ht="40.5" customHeight="1">
      <c r="A1" s="1" t="s">
        <v>0</v>
      </c>
      <c r="B1" s="2" t="s">
        <v>1</v>
      </c>
      <c r="C1" s="2" t="s">
        <v>2</v>
      </c>
      <c r="D1" s="2" t="s">
        <v>3</v>
      </c>
      <c r="E1" s="2" t="s">
        <v>4</v>
      </c>
      <c r="F1" s="1" t="s">
        <v>5</v>
      </c>
    </row>
    <row r="2" ht="39.0" customHeight="1">
      <c r="A2" s="17">
        <v>1.0</v>
      </c>
      <c r="B2" s="4" t="str">
        <f>IFERROR(__xludf.DUMMYFUNCTION("IMPORTRANGE(""https://docs.google.com/spreadsheets/d/1L2Wvr80_W4KcH9efqr9z4ZP1nCXTa49QoGM1wW9kb90/edit#gid=1335409177"", ""DS 23 Refocus!G3:K42"")"),"Day-0
Minggu, 08 Oktober 2023
13.00 - 15.30 WIB")</f>
        <v>Day-0
Minggu, 08 Oktober 2023
13.00 - 15.30 WIB</v>
      </c>
      <c r="C2" s="4" t="str">
        <f>IFERROR(__xludf.DUMMYFUNCTION("""COMPUTED_VALUE"""),"On Boarding Before Bootcamp")</f>
        <v>On Boarding Before Bootcamp</v>
      </c>
      <c r="D2" s="5" t="str">
        <f>IFERROR(__xludf.DUMMYFUNCTION("""COMPUTED_VALUE"""),"Pada sesi ini, student akan dijelaskan apa saja yang perlu dipersiapkan sebelum memulai bootcamp dan sebelum memulai kelas beserta journey belajar yang akan dilewati")</f>
        <v>Pada sesi ini, student akan dijelaskan apa saja yang perlu dipersiapkan sebelum memulai bootcamp dan sebelum memulai kelas beserta journey belajar yang akan dilewati</v>
      </c>
      <c r="E2" s="6"/>
      <c r="F2" s="7"/>
    </row>
    <row r="3" ht="81.0" customHeight="1">
      <c r="A3" s="8">
        <v>2.0</v>
      </c>
      <c r="B3" s="9" t="str">
        <f>IFERROR(__xludf.DUMMYFUNCTION("""COMPUTED_VALUE"""),"Day-Video Learning
Jumat, 13 Oktober 2023
09.00 - 19.00 WIB")</f>
        <v>Day-Video Learning
Jumat, 13 Oktober 2023
09.00 - 19.00 WIB</v>
      </c>
      <c r="C3" s="9" t="str">
        <f>IFERROR(__xludf.DUMMYFUNCTION("""COMPUTED_VALUE"""),"Video Learning
Introduction to Data Science &amp; Python")</f>
        <v>Video Learning
Introduction to Data Science &amp; Python</v>
      </c>
      <c r="D3" s="5" t="str">
        <f>IFERROR(__xludf.DUMMYFUNCTION("""COMPUTED_VALUE"""),"Pada sesi ini desediakan video yang dapat ditonton sebelum kelas terkait Introduction to Data Science dan Introduction to Python, 
Tidak ada kelas secara live atau sinkron")</f>
        <v>Pada sesi ini desediakan video yang dapat ditonton sebelum kelas terkait Introduction to Data Science dan Introduction to Python, 
Tidak ada kelas secara live atau sinkron</v>
      </c>
      <c r="E3" s="5"/>
      <c r="F3" s="5"/>
    </row>
    <row r="4">
      <c r="A4" s="10">
        <v>3.0</v>
      </c>
      <c r="B4" s="11" t="str">
        <f>IFERROR(__xludf.DUMMYFUNCTION("""COMPUTED_VALUE"""),"Day-1
Sabtu, 14 Oktober 2023
09.00 - 11.30 WIB")</f>
        <v>Day-1
Sabtu, 14 Oktober 2023
09.00 - 11.30 WIB</v>
      </c>
      <c r="C4" s="11" t="str">
        <f>IFERROR(__xludf.DUMMYFUNCTION("""COMPUTED_VALUE"""),"Introduction to Data Science")</f>
        <v>Introduction to Data Science</v>
      </c>
      <c r="D4" s="12" t="str">
        <f>IFERROR(__xludf.DUMMYFUNCTION("""COMPUTED_VALUE"""),"1. Introduction to Data Science (Analytics and Machine Learning)
2. Data Science Methodology
3. The difference between Data Science in R and Python and the implementation in the related field
4. Introduction to Coding Exercise and how to googling effectiv"&amp;"ely as data scientist.")</f>
        <v>1. Introduction to Data Science (Analytics and Machine Learning)
2. Data Science Methodology
3. The difference between Data Science in R and Python and the implementation in the related field
4. Introduction to Coding Exercise and how to googling effectively as data scientist.</v>
      </c>
      <c r="E4" s="12" t="str">
        <f>IFERROR(__xludf.DUMMYFUNCTION("""COMPUTED_VALUE"""),"-")</f>
        <v>-</v>
      </c>
      <c r="F4" s="12" t="str">
        <f>IFERROR(__xludf.DUMMYFUNCTION("""COMPUTED_VALUE"""),"Zoom")</f>
        <v>Zoom</v>
      </c>
    </row>
    <row r="5">
      <c r="A5" s="13">
        <v>4.0</v>
      </c>
      <c r="B5" s="11" t="str">
        <f>IFERROR(__xludf.DUMMYFUNCTION("""COMPUTED_VALUE"""),"Day-2
Minggu, 15 Oktober 2023
09.00 - 11.30 WIB")</f>
        <v>Day-2
Minggu, 15 Oktober 2023
09.00 - 11.30 WIB</v>
      </c>
      <c r="C5" s="14" t="str">
        <f>IFERROR(__xludf.DUMMYFUNCTION("""COMPUTED_VALUE"""),"Introduction to Python")</f>
        <v>Introduction to Python</v>
      </c>
      <c r="D5" s="15" t="str">
        <f>IFERROR(__xludf.DUMMYFUNCTION("""COMPUTED_VALUE"""),"1. Introduction to write a code in Python by using Jupyter notebook/colab
2. Penjelasan mengenai kenapa data scientist perlu belajar coding
3. Platform yang bisa digunakan untuk latihan coding
4. Basic Code yang harus dipahami ( input-output, if/else cond"&amp;"ition)")</f>
        <v>1. Introduction to write a code in Python by using Jupyter notebook/colab
2. Penjelasan mengenai kenapa data scientist perlu belajar coding
3. Platform yang bisa digunakan untuk latihan coding
4. Basic Code yang harus dipahami ( input-output, if/else condition)</v>
      </c>
      <c r="E5" s="12" t="str">
        <f>IFERROR(__xludf.DUMMYFUNCTION("""COMPUTED_VALUE"""),"Class Exercise:
Hands on Basic Programming in Python")</f>
        <v>Class Exercise:
Hands on Basic Programming in Python</v>
      </c>
      <c r="F5" s="16" t="str">
        <f>IFERROR(__xludf.DUMMYFUNCTION("""COMPUTED_VALUE"""),"Google Colaboratory")</f>
        <v>Google Colaboratory</v>
      </c>
    </row>
    <row r="6">
      <c r="A6" s="17">
        <v>5.0</v>
      </c>
      <c r="B6" s="9" t="str">
        <f>IFERROR(__xludf.DUMMYFUNCTION("""COMPUTED_VALUE"""),"Day-3
Jumat, 20 Oktober 2023
09.00 - 19.00 WIB")</f>
        <v>Day-3
Jumat, 20 Oktober 2023
09.00 - 19.00 WIB</v>
      </c>
      <c r="C6" s="9" t="str">
        <f>IFERROR(__xludf.DUMMYFUNCTION("""COMPUTED_VALUE"""),"Video Learning
Hands On Data Science Project with Python: Data Type and Structure")</f>
        <v>Video Learning
Hands On Data Science Project with Python: Data Type and Structure</v>
      </c>
      <c r="D6" s="5" t="str">
        <f>IFERROR(__xludf.DUMMYFUNCTION("""COMPUTED_VALUE"""),"1. Introduction to Python Programming
2. Python Basic
3. Variable, Data Type and Operation
4. Packages in Python
5. Python Numpy
6. Python Pandas
Tidak ada kelas secara live atau sinkron")</f>
        <v>1. Introduction to Python Programming
2. Python Basic
3. Variable, Data Type and Operation
4. Packages in Python
5. Python Numpy
6. Python Pandas
Tidak ada kelas secara live atau sinkron</v>
      </c>
      <c r="E6" s="5"/>
      <c r="F6" s="5"/>
    </row>
    <row r="7">
      <c r="A7" s="13">
        <v>6.0</v>
      </c>
      <c r="B7" s="11" t="str">
        <f>IFERROR(__xludf.DUMMYFUNCTION("""COMPUTED_VALUE"""),"Day-4
Sabtu, 21 Oktober 2023
13.00 - 15.30 WIB")</f>
        <v>Day-4
Sabtu, 21 Oktober 2023
13.00 - 15.30 WIB</v>
      </c>
      <c r="C7" s="11" t="str">
        <f>IFERROR(__xludf.DUMMYFUNCTION("""COMPUTED_VALUE"""),"Hands On Data Science Project with Python: Data Type and Structure")</f>
        <v>Hands On Data Science Project with Python: Data Type and Structure</v>
      </c>
      <c r="D7" s="12" t="str">
        <f>IFERROR(__xludf.DUMMYFUNCTION("""COMPUTED_VALUE"""),"1. Basic Calculation in Python
2. Data Type: character, numeric (real or decimal), integer, logical, complex
3. Data Structure: vector, list, matrix, factors
4. Continuous and Categorical Data
5. Looping")</f>
        <v>1. Basic Calculation in Python
2. Data Type: character, numeric (real or decimal), integer, logical, complex
3. Data Structure: vector, list, matrix, factors
4. Continuous and Categorical Data
5. Looping</v>
      </c>
      <c r="E7" s="12" t="str">
        <f>IFERROR(__xludf.DUMMYFUNCTION("""COMPUTED_VALUE"""),"Assignment:
Case study and problem solve with Python programming 
Deadline: (Individu, dikumpulkan maks H+7 kelas di LMS)")</f>
        <v>Assignment:
Case study and problem solve with Python programming 
Deadline: (Individu, dikumpulkan maks H+7 kelas di LMS)</v>
      </c>
      <c r="F7" s="12" t="str">
        <f>IFERROR(__xludf.DUMMYFUNCTION("""COMPUTED_VALUE"""),"Zoom dan Google Colaboratory")</f>
        <v>Zoom dan Google Colaboratory</v>
      </c>
    </row>
    <row r="8">
      <c r="A8" s="10">
        <v>7.0</v>
      </c>
      <c r="B8" s="11" t="str">
        <f>IFERROR(__xludf.DUMMYFUNCTION("""COMPUTED_VALUE"""),"Day-5
Minggu, 22 Oktober 2023
13.00 - 15.30 WIB")</f>
        <v>Day-5
Minggu, 22 Oktober 2023
13.00 - 15.30 WIB</v>
      </c>
      <c r="C8" s="14" t="str">
        <f>IFERROR(__xludf.DUMMYFUNCTION("""COMPUTED_VALUE"""),"Descriptive Statistic")</f>
        <v>Descriptive Statistic</v>
      </c>
      <c r="D8" s="15" t="str">
        <f>IFERROR(__xludf.DUMMYFUNCTION("""COMPUTED_VALUE"""),"1. Mean, median, and mode
2. Variance and covariance
3. Expected Values
4. Standard deviation
5. Standard normal curve
6. Z score calculation")</f>
        <v>1. Mean, median, and mode
2. Variance and covariance
3. Expected Values
4. Standard deviation
5. Standard normal curve
6. Z score calculation</v>
      </c>
      <c r="E8" s="18" t="str">
        <f>IFERROR(__xludf.DUMMYFUNCTION("""COMPUTED_VALUE"""),"Class Exercise:
Statistics in Python")</f>
        <v>Class Exercise:
Statistics in Python</v>
      </c>
      <c r="F8" s="15"/>
    </row>
    <row r="9">
      <c r="A9" s="13">
        <v>8.0</v>
      </c>
      <c r="B9" s="11" t="str">
        <f>IFERROR(__xludf.DUMMYFUNCTION("""COMPUTED_VALUE"""),"Day-6
Sabtu, 28 Oktober 2023
09.00 - 11.30 WIB")</f>
        <v>Day-6
Sabtu, 28 Oktober 2023
09.00 - 11.30 WIB</v>
      </c>
      <c r="C9" s="11" t="str">
        <f>IFERROR(__xludf.DUMMYFUNCTION("""COMPUTED_VALUE"""),"Hands On Data Science Project with Python: Data Manipulation")</f>
        <v>Hands On Data Science Project with Python: Data Manipulation</v>
      </c>
      <c r="D9" s="12" t="str">
        <f>IFERROR(__xludf.DUMMYFUNCTION("""COMPUTED_VALUE"""),"1. Introduction to pandas (Filter, Dataframe, Selecting Rows and Coloums)
2. Group by, Join and merge Data
3. Datetime
4. Data Manipulation Process
5. Data transformation
6. Feature engineering")</f>
        <v>1. Introduction to pandas (Filter, Dataframe, Selecting Rows and Coloums)
2. Group by, Join and merge Data
3. Datetime
4. Data Manipulation Process
5. Data transformation
6. Feature engineering</v>
      </c>
      <c r="E9" s="12" t="str">
        <f>IFERROR(__xludf.DUMMYFUNCTION("""COMPUTED_VALUE"""),"Class Exercise:
Hands on Data Manipulation in Python
Assignment:
Data manipulation with Python by using dataset 
https://www.kaggle.com/blastchar/telco-customer-churn 
Deadline: (Individu, dikumpulkan maks H+7 kelas di LMS)")</f>
        <v>Class Exercise:
Hands on Data Manipulation in Python
Assignment:
Data manipulation with Python by using dataset 
https://www.kaggle.com/blastchar/telco-customer-churn 
Deadline: (Individu, dikumpulkan maks H+7 kelas di LMS)</v>
      </c>
      <c r="F9" s="12" t="str">
        <f>IFERROR(__xludf.DUMMYFUNCTION("""COMPUTED_VALUE"""),"Zoom dan Google Colaboratory")</f>
        <v>Zoom dan Google Colaboratory</v>
      </c>
    </row>
    <row r="10">
      <c r="A10" s="10">
        <v>9.0</v>
      </c>
      <c r="B10" s="14" t="str">
        <f>IFERROR(__xludf.DUMMYFUNCTION("""COMPUTED_VALUE"""),"Day-7
Minggu, 29 Oktober 2023
09.00 - 11.30 WIB")</f>
        <v>Day-7
Minggu, 29 Oktober 2023
09.00 - 11.30 WIB</v>
      </c>
      <c r="C10" s="14" t="str">
        <f>IFERROR(__xludf.DUMMYFUNCTION("""COMPUTED_VALUE"""),"Hands On Data Science Project with Python: Data Cleaning")</f>
        <v>Hands On Data Science Project with Python: Data Cleaning</v>
      </c>
      <c r="D10" s="12" t="str">
        <f>IFERROR(__xludf.DUMMYFUNCTION("""COMPUTED_VALUE"""),"1. Handling missing value
2. Data Frame
3. Categorical data encoding
4. Outlier handling")</f>
        <v>1. Handling missing value
2. Data Frame
3. Categorical data encoding
4. Outlier handling</v>
      </c>
      <c r="E10" s="19" t="str">
        <f>IFERROR(__xludf.DUMMYFUNCTION("""COMPUTED_VALUE"""),"Class Exercise:
Hands on Data Cleaning in Python
Assignment:
Data cleaning with Python by using dataset https://www.kaggle.com/blastchar/telco-customer-churn 
Deadline: (Individu, dikumpulkan maks H+7 kelas di LMS)")</f>
        <v>Class Exercise:
Hands on Data Cleaning in Python
Assignment:
Data cleaning with Python by using dataset https://www.kaggle.com/blastchar/telco-customer-churn 
Deadline: (Individu, dikumpulkan maks H+7 kelas di LMS)</v>
      </c>
      <c r="F10" s="16" t="str">
        <f>IFERROR(__xludf.DUMMYFUNCTION("""COMPUTED_VALUE"""),"Zoom dan Google Colaboratory")</f>
        <v>Zoom dan Google Colaboratory</v>
      </c>
    </row>
    <row r="11">
      <c r="A11" s="13">
        <v>10.0</v>
      </c>
      <c r="B11" s="14" t="str">
        <f>IFERROR(__xludf.DUMMYFUNCTION("""COMPUTED_VALUE"""),"Day-8
Sabtu, 04 November 2023
09.00 - 11.30 WIB")</f>
        <v>Day-8
Sabtu, 04 November 2023
09.00 - 11.30 WIB</v>
      </c>
      <c r="C11" s="14" t="str">
        <f>IFERROR(__xludf.DUMMYFUNCTION("""COMPUTED_VALUE"""),"Hypothesis Testing Concepts")</f>
        <v>Hypothesis Testing Concepts</v>
      </c>
      <c r="D11" s="15" t="str">
        <f>IFERROR(__xludf.DUMMYFUNCTION("""COMPUTED_VALUE"""),"1. Probability Mass Function
2. Probability Density Function
3. T test (paired and two-sample)
4. P-Values
5. One way ANOVA
6. Alpha, null and alternative hypothesis")</f>
        <v>1. Probability Mass Function
2. Probability Density Function
3. T test (paired and two-sample)
4. P-Values
5. One way ANOVA
6. Alpha, null and alternative hypothesis</v>
      </c>
      <c r="E11" s="12" t="str">
        <f>IFERROR(__xludf.DUMMYFUNCTION("""COMPUTED_VALUE"""),"Class Exercise:
Statistics in Python
Assignment:
Solving statistical problems and interpreting output 
Deadline: (Individu, dikumpulkan maks H+7 kelas di LMS)")</f>
        <v>Class Exercise:
Statistics in Python
Assignment:
Solving statistical problems and interpreting output 
Deadline: (Individu, dikumpulkan maks H+7 kelas di LMS)</v>
      </c>
      <c r="F11" s="15" t="str">
        <f>IFERROR(__xludf.DUMMYFUNCTION("""COMPUTED_VALUE"""),"Zoom, Google Colaboratory")</f>
        <v>Zoom, Google Colaboratory</v>
      </c>
    </row>
    <row r="12">
      <c r="A12" s="10">
        <v>11.0</v>
      </c>
      <c r="B12" s="11" t="str">
        <f>IFERROR(__xludf.DUMMYFUNCTION("""COMPUTED_VALUE"""),"Day-9
Minggu, 05 November 2023
09.00  - 11.30 WIB")</f>
        <v>Day-9
Minggu, 05 November 2023
09.00  - 11.30 WIB</v>
      </c>
      <c r="C12" s="11" t="str">
        <f>IFERROR(__xludf.DUMMYFUNCTION("""COMPUTED_VALUE"""),"SQL Query I")</f>
        <v>SQL Query I</v>
      </c>
      <c r="D12" s="12" t="str">
        <f>IFERROR(__xludf.DUMMYFUNCTION("""COMPUTED_VALUE"""),"1. Introduction + DDL
2. Short introduce to Database / DDL / DML
3. Setting up Environment
4. Create Cloud Postgre Database
5. Database connection through DBI package
6. DDL")</f>
        <v>1. Introduction + DDL
2. Short introduce to Database / DDL / DML
3. Setting up Environment
4. Create Cloud Postgre Database
5. Database connection through DBI package
6. DDL</v>
      </c>
      <c r="E12" s="12" t="str">
        <f>IFERROR(__xludf.DUMMYFUNCTION("""COMPUTED_VALUE"""),"Class Exercise:
SQL Query Simulations")</f>
        <v>Class Exercise:
SQL Query Simulations</v>
      </c>
      <c r="F12" s="12" t="str">
        <f>IFERROR(__xludf.DUMMYFUNCTION("""COMPUTED_VALUE"""),"Zoom, Bigquery")</f>
        <v>Zoom, Bigquery</v>
      </c>
    </row>
    <row r="13">
      <c r="A13" s="13">
        <v>12.0</v>
      </c>
      <c r="B13" s="14" t="str">
        <f>IFERROR(__xludf.DUMMYFUNCTION("""COMPUTED_VALUE"""),"Day-10
Sabtu, 11 November 2023
09.00  - 11.30 WIB")</f>
        <v>Day-10
Sabtu, 11 November 2023
09.00  - 11.30 WIB</v>
      </c>
      <c r="C13" s="14" t="str">
        <f>IFERROR(__xludf.DUMMYFUNCTION("""COMPUTED_VALUE"""),"SQL Query II")</f>
        <v>SQL Query II</v>
      </c>
      <c r="D13" s="15" t="str">
        <f>IFERROR(__xludf.DUMMYFUNCTION("""COMPUTED_VALUE"""),"1. Basic SQL
2. Where clause (value comparison, string pattern, etc)
3. Aggregate statement
4. Conditional statement ( case when)
5. Join Statement
7. Union Operation")</f>
        <v>1. Basic SQL
2. Where clause (value comparison, string pattern, etc)
3. Aggregate statement
4. Conditional statement ( case when)
5. Join Statement
7. Union Operation</v>
      </c>
      <c r="E13" s="18" t="str">
        <f>IFERROR(__xludf.DUMMYFUNCTION("""COMPUTED_VALUE"""),"Class Exercise:
SQL Query Simulations
Assignment:
Solve SQL Query in real case 1 
Deadline: (Individu, dikumpulkan maks H+7 kelas di LMS)")</f>
        <v>Class Exercise:
SQL Query Simulations
Assignment:
Solve SQL Query in real case 1 
Deadline: (Individu, dikumpulkan maks H+7 kelas di LMS)</v>
      </c>
      <c r="F13" s="15" t="str">
        <f>IFERROR(__xludf.DUMMYFUNCTION("""COMPUTED_VALUE"""),"Zoom, Bigquery")</f>
        <v>Zoom, Bigquery</v>
      </c>
    </row>
    <row r="14">
      <c r="A14" s="10">
        <v>13.0</v>
      </c>
      <c r="B14" s="14" t="str">
        <f>IFERROR(__xludf.DUMMYFUNCTION("""COMPUTED_VALUE"""),"Day-11
Minggu, 12 November 2023
09.00  - 11.30 WIB")</f>
        <v>Day-11
Minggu, 12 November 2023
09.00  - 11.30 WIB</v>
      </c>
      <c r="C14" s="14" t="str">
        <f>IFERROR(__xludf.DUMMYFUNCTION("""COMPUTED_VALUE"""),"SQL Query III")</f>
        <v>SQL Query III</v>
      </c>
      <c r="D14" s="15" t="str">
        <f>IFERROR(__xludf.DUMMYFUNCTION("""COMPUTED_VALUE"""),"1. DML Part 2 + Data analysis
2. Subquery, Rank, Other SQL Operation
3. Analysis case study")</f>
        <v>1. DML Part 2 + Data analysis
2. Subquery, Rank, Other SQL Operation
3. Analysis case study</v>
      </c>
      <c r="E14" s="18" t="str">
        <f>IFERROR(__xludf.DUMMYFUNCTION("""COMPUTED_VALUE"""),"Class Exercise:
SQL Query
Assignment:
Solve SQL Query in real case 1 
Deadline: (Individu, dikumpulkan maks H+7 kelas di LMS)")</f>
        <v>Class Exercise:
SQL Query
Assignment:
Solve SQL Query in real case 1 
Deadline: (Individu, dikumpulkan maks H+7 kelas di LMS)</v>
      </c>
      <c r="F14" s="15" t="str">
        <f>IFERROR(__xludf.DUMMYFUNCTION("""COMPUTED_VALUE"""),"Zoom, Bigquery")</f>
        <v>Zoom, Bigquery</v>
      </c>
    </row>
    <row r="15">
      <c r="A15" s="13">
        <v>14.0</v>
      </c>
      <c r="B15" s="14" t="str">
        <f>IFERROR(__xludf.DUMMYFUNCTION("""COMPUTED_VALUE"""),"Day-12
Minggu, 12 November 2023
13.00  - 15.30 WIB")</f>
        <v>Day-12
Minggu, 12 November 2023
13.00  - 15.30 WIB</v>
      </c>
      <c r="C15" s="14" t="str">
        <f>IFERROR(__xludf.DUMMYFUNCTION("""COMPUTED_VALUE"""),"Team Activity")</f>
        <v>Team Activity</v>
      </c>
      <c r="D15" s="12" t="str">
        <f>IFERROR(__xludf.DUMMYFUNCTION("""COMPUTED_VALUE"""),"Student akan dibentuk kelompok untuk menyelesaikan fun challenge yang diberikan oleh tim dibimbing.id")</f>
        <v>Student akan dibentuk kelompok untuk menyelesaikan fun challenge yang diberikan oleh tim dibimbing.id</v>
      </c>
      <c r="E15" s="12"/>
      <c r="F15" s="15"/>
    </row>
    <row r="16">
      <c r="A16" s="10">
        <v>15.0</v>
      </c>
      <c r="B16" s="14" t="str">
        <f>IFERROR(__xludf.DUMMYFUNCTION("""COMPUTED_VALUE"""),"Day-13
Sabtu, 18 November 2023
13.00 - 15.30 WIB")</f>
        <v>Day-13
Sabtu, 18 November 2023
13.00 - 15.30 WIB</v>
      </c>
      <c r="C16" s="14" t="str">
        <f>IFERROR(__xludf.DUMMYFUNCTION("""COMPUTED_VALUE"""),"Hands On Data Science Project with Python: Data Visualization in Python I")</f>
        <v>Hands On Data Science Project with Python: Data Visualization in Python I</v>
      </c>
      <c r="D16" s="15" t="str">
        <f>IFERROR(__xludf.DUMMYFUNCTION("""COMPUTED_VALUE"""),"1. Visualizing bivariate data
2. Visualizing data distribution
3. Visualizing categorical data")</f>
        <v>1. Visualizing bivariate data
2. Visualizing data distribution
3. Visualizing categorical data</v>
      </c>
      <c r="E16" s="18" t="str">
        <f>IFERROR(__xludf.DUMMYFUNCTION("""COMPUTED_VALUE"""),"Class Exercise:
Visualize data
Assignment:
Visualize data by using dataset
https://www.kaggle.com/blastchar/telco-customer-churn 
Deadline: (Individu, dikumpulkan maks H+7 kelas di LMS)")</f>
        <v>Class Exercise:
Visualize data
Assignment:
Visualize data by using dataset
https://www.kaggle.com/blastchar/telco-customer-churn 
Deadline: (Individu, dikumpulkan maks H+7 kelas di LMS)</v>
      </c>
      <c r="F16" s="15" t="str">
        <f>IFERROR(__xludf.DUMMYFUNCTION("""COMPUTED_VALUE"""),"Zoom dan Google Colaboratory")</f>
        <v>Zoom dan Google Colaboratory</v>
      </c>
    </row>
    <row r="17">
      <c r="A17" s="13">
        <v>16.0</v>
      </c>
      <c r="B17" s="14" t="str">
        <f>IFERROR(__xludf.DUMMYFUNCTION("""COMPUTED_VALUE"""),"Day-14
Minggu, 19 November 2023
09.00 - 11.30 WIB")</f>
        <v>Day-14
Minggu, 19 November 2023
09.00 - 11.30 WIB</v>
      </c>
      <c r="C17" s="14" t="str">
        <f>IFERROR(__xludf.DUMMYFUNCTION("""COMPUTED_VALUE"""),"Hands On Data Science Project with Python: Data Visualization in Python II")</f>
        <v>Hands On Data Science Project with Python: Data Visualization in Python II</v>
      </c>
      <c r="D17" s="12" t="str">
        <f>IFERROR(__xludf.DUMMYFUNCTION("""COMPUTED_VALUE"""),"1. Enhancing Matplot dan Seaborn library
2. Fills
3. Discrete and Continuous Colors
4. Facet with Wraps and Grids")</f>
        <v>1. Enhancing Matplot dan Seaborn library
2. Fills
3. Discrete and Continuous Colors
4. Facet with Wraps and Grids</v>
      </c>
      <c r="E17" s="12" t="str">
        <f>IFERROR(__xludf.DUMMYFUNCTION("""COMPUTED_VALUE"""),"Class Exercise:
Visualize data dengan menggunakan 1 atau 2 dataset")</f>
        <v>Class Exercise:
Visualize data dengan menggunakan 1 atau 2 dataset</v>
      </c>
      <c r="F17" s="15" t="str">
        <f>IFERROR(__xludf.DUMMYFUNCTION("""COMPUTED_VALUE"""),"Zoom dan Google Colaboratory")</f>
        <v>Zoom dan Google Colaboratory</v>
      </c>
    </row>
    <row r="18">
      <c r="A18" s="10">
        <v>17.0</v>
      </c>
      <c r="B18" s="14" t="str">
        <f>IFERROR(__xludf.DUMMYFUNCTION("""COMPUTED_VALUE"""),"Day-15
Sabtu, 25 November 2023
09.00 - 11.30 WIB")</f>
        <v>Day-15
Sabtu, 25 November 2023
09.00 - 11.30 WIB</v>
      </c>
      <c r="C18" s="14" t="str">
        <f>IFERROR(__xludf.DUMMYFUNCTION("""COMPUTED_VALUE"""),"Web Dashboard Development")</f>
        <v>Web Dashboard Development</v>
      </c>
      <c r="D18" s="15" t="str">
        <f>IFERROR(__xludf.DUMMYFUNCTION("""COMPUTED_VALUE"""),"1. How to connect Google Sheets to Google Data Studio
2. Create visualizations (maps, charts, scatter plot, histogram)
3. Pivot Table
4. Interactive Dashboards using date/dimension
5. Data storytelling")</f>
        <v>1. How to connect Google Sheets to Google Data Studio
2. Create visualizations (maps, charts, scatter plot, histogram)
3. Pivot Table
4. Interactive Dashboards using date/dimension
5. Data storytelling</v>
      </c>
      <c r="E18" s="12" t="str">
        <f>IFERROR(__xludf.DUMMYFUNCTION("""COMPUTED_VALUE"""),"Class Exercise:
Hands on Web Dashboard
Assignment:
Dashboard 
Deadline: (Individu, dikumpulkan maks H+7 kelas di LMS)")</f>
        <v>Class Exercise:
Hands on Web Dashboard
Assignment:
Dashboard 
Deadline: (Individu, dikumpulkan maks H+7 kelas di LMS)</v>
      </c>
      <c r="F18" s="15" t="str">
        <f>IFERROR(__xludf.DUMMYFUNCTION("""COMPUTED_VALUE"""),"Zoom dan Looker Studio")</f>
        <v>Zoom dan Looker Studio</v>
      </c>
    </row>
    <row r="19">
      <c r="A19" s="13">
        <v>18.0</v>
      </c>
      <c r="B19" s="14" t="str">
        <f>IFERROR(__xludf.DUMMYFUNCTION("""COMPUTED_VALUE"""),"Day-16
Minggu, 26 November 2023
13.00 - 15.30 WIB")</f>
        <v>Day-16
Minggu, 26 November 2023
13.00 - 15.30 WIB</v>
      </c>
      <c r="C19" s="14" t="str">
        <f>IFERROR(__xludf.DUMMYFUNCTION("""COMPUTED_VALUE"""),"Hands On Data Science Project with Python: Exploratory Data Analysis I")</f>
        <v>Hands On Data Science Project with Python: Exploratory Data Analysis I</v>
      </c>
      <c r="D19" s="15" t="str">
        <f>IFERROR(__xludf.DUMMYFUNCTION("""COMPUTED_VALUE"""),"1. Reading and Extracting Data
2. Data Understanding
3. Exploratory Data Analysis")</f>
        <v>1. Reading and Extracting Data
2. Data Understanding
3. Exploratory Data Analysis</v>
      </c>
      <c r="E19" s="18" t="str">
        <f>IFERROR(__xludf.DUMMYFUNCTION("""COMPUTED_VALUE"""),"Class Exercise:
Exploratory Data Analysis
Assignment: -")</f>
        <v>Class Exercise:
Exploratory Data Analysis
Assignment: -</v>
      </c>
      <c r="F19" s="15" t="str">
        <f>IFERROR(__xludf.DUMMYFUNCTION("""COMPUTED_VALUE"""),"Zoom dan Google Colaboratory")</f>
        <v>Zoom dan Google Colaboratory</v>
      </c>
    </row>
    <row r="20">
      <c r="A20" s="10">
        <v>19.0</v>
      </c>
      <c r="B20" s="14" t="str">
        <f>IFERROR(__xludf.DUMMYFUNCTION("""COMPUTED_VALUE"""),"Day-17
Sabtu, 02 Desember 2023
09.00 - 11.30 WIB")</f>
        <v>Day-17
Sabtu, 02 Desember 2023
09.00 - 11.30 WIB</v>
      </c>
      <c r="C20" s="14" t="str">
        <f>IFERROR(__xludf.DUMMYFUNCTION("""COMPUTED_VALUE"""),"Hands On Data Science Project with Python: Exploratory Data Analysis II")</f>
        <v>Hands On Data Science Project with Python: Exploratory Data Analysis II</v>
      </c>
      <c r="D20" s="15" t="str">
        <f>IFERROR(__xludf.DUMMYFUNCTION("""COMPUTED_VALUE"""),"1. Data frame rows-filtering
2. Sampling and randomization
3. Cross-tabulation
4. Group-by aggregation")</f>
        <v>1. Data frame rows-filtering
2. Sampling and randomization
3. Cross-tabulation
4. Group-by aggregation</v>
      </c>
      <c r="E20" s="12" t="str">
        <f>IFERROR(__xludf.DUMMYFUNCTION("""COMPUTED_VALUE"""),"Class Exercise:
Exploratory Data Analysis
Assignment:
Case study and problem solve with Python programming about EDA (include topics in EDA1 and EDA 2) by using dataset
https://www.kaggle.com/blastchar/telco-customer-churn 
Deadline: (Individu, dikumpu"&amp;"lkan maks H+7 kelas di LMS)")</f>
        <v>Class Exercise:
Exploratory Data Analysis
Assignment:
Case study and problem solve with Python programming about EDA (include topics in EDA1 and EDA 2) by using dataset
https://www.kaggle.com/blastchar/telco-customer-churn 
Deadline: (Individu, dikumpulkan maks H+7 kelas di LMS)</v>
      </c>
      <c r="F20" s="15" t="str">
        <f>IFERROR(__xludf.DUMMYFUNCTION("""COMPUTED_VALUE"""),"Zoom dan Google Colaboratory")</f>
        <v>Zoom dan Google Colaboratory</v>
      </c>
    </row>
    <row r="21">
      <c r="A21" s="13">
        <v>20.0</v>
      </c>
      <c r="B21" s="14" t="str">
        <f>IFERROR(__xludf.DUMMYFUNCTION("""COMPUTED_VALUE"""),"Day-18
Minggu, 03 Desember 2023
09.00 - 11.30 WIB")</f>
        <v>Day-18
Minggu, 03 Desember 2023
09.00 - 11.30 WIB</v>
      </c>
      <c r="C21" s="14" t="str">
        <f>IFERROR(__xludf.DUMMYFUNCTION("""COMPUTED_VALUE"""),"Sharing Session and Mid test Preparation")</f>
        <v>Sharing Session and Mid test Preparation</v>
      </c>
      <c r="D21" s="12" t="str">
        <f>IFERROR(__xludf.DUMMYFUNCTION("""COMPUTED_VALUE"""),"1. Mid-test Preparation 
2. Peer Teaching Group")</f>
        <v>1. Mid-test Preparation 
2. Peer Teaching Group</v>
      </c>
      <c r="E21" s="12"/>
      <c r="F21" s="16"/>
    </row>
    <row r="22">
      <c r="A22" s="10">
        <v>21.0</v>
      </c>
      <c r="B22" s="14" t="str">
        <f>IFERROR(__xludf.DUMMYFUNCTION("""COMPUTED_VALUE"""),"Day-19
Sabtu, 09 Desember 2023
09.00 - 12.00 WIB")</f>
        <v>Day-19
Sabtu, 09 Desember 2023
09.00 - 12.00 WIB</v>
      </c>
      <c r="C22" s="14" t="str">
        <f>IFERROR(__xludf.DUMMYFUNCTION("""COMPUTED_VALUE"""),"Middle Test")</f>
        <v>Middle Test</v>
      </c>
      <c r="D22" s="12" t="str">
        <f>IFERROR(__xludf.DUMMYFUNCTION("""COMPUTED_VALUE"""),"Mid test untuk menguji pengetahuan students terkait rangkaian kelas yang diikuti  sebagai berikut :
1. Introduction to data and python programming
2. Preprocessing data
3. Mathematic in data science
4. SQL Query
5. Data Visualization
6. Exploration data a"&amp;"nalysis")</f>
        <v>Mid test untuk menguji pengetahuan students terkait rangkaian kelas yang diikuti  sebagai berikut :
1. Introduction to data and python programming
2. Preprocessing data
3. Mathematic in data science
4. SQL Query
5. Data Visualization
6. Exploration data analysis</v>
      </c>
      <c r="E22" s="12"/>
      <c r="F22" s="25"/>
    </row>
    <row r="23">
      <c r="A23" s="13">
        <v>22.0</v>
      </c>
      <c r="B23" s="14" t="str">
        <f>IFERROR(__xludf.DUMMYFUNCTION("""COMPUTED_VALUE"""),"Day-20
Minggu, 10 Desember 2023
09.00 - 11.30 WIB")</f>
        <v>Day-20
Minggu, 10 Desember 2023
09.00 - 11.30 WIB</v>
      </c>
      <c r="C23" s="14" t="str">
        <f>IFERROR(__xludf.DUMMYFUNCTION("""COMPUTED_VALUE"""),"GIT and Portfolio as Data Science")</f>
        <v>GIT and Portfolio as Data Science</v>
      </c>
      <c r="D23" s="15" t="str">
        <f>IFERROR(__xludf.DUMMYFUNCTION("""COMPUTED_VALUE"""),"1. Create repository
2. Local vs. Remote Repository
3. Commit
4. Push
5. Pull
6. Clone
7. Branching with Git
8. Definition of Kaggle and Github and how to used it Kaggle or Github
9. Creating portfolio with Kaggle")</f>
        <v>1. Create repository
2. Local vs. Remote Repository
3. Commit
4. Push
5. Pull
6. Clone
7. Branching with Git
8. Definition of Kaggle and Github and how to used it Kaggle or Github
9. Creating portfolio with Kaggle</v>
      </c>
      <c r="E23" s="26" t="str">
        <f>IFERROR(__xludf.DUMMYFUNCTION("""COMPUTED_VALUE"""),"Class Exercise:
Hands on GIT
Assignment: -")</f>
        <v>Class Exercise:
Hands on GIT
Assignment: -</v>
      </c>
      <c r="F23" s="27" t="str">
        <f>IFERROR(__xludf.DUMMYFUNCTION("""COMPUTED_VALUE"""),"Zoom and GIT")</f>
        <v>Zoom and GIT</v>
      </c>
    </row>
    <row r="24">
      <c r="A24" s="10">
        <v>23.0</v>
      </c>
      <c r="B24" s="14" t="str">
        <f>IFERROR(__xludf.DUMMYFUNCTION("""COMPUTED_VALUE"""),"Day-21
Sabtu, 16 Desember 2023
09.00 - 11.30 WIB")</f>
        <v>Day-21
Sabtu, 16 Desember 2023
09.00 - 11.30 WIB</v>
      </c>
      <c r="C24" s="14" t="str">
        <f>IFERROR(__xludf.DUMMYFUNCTION("""COMPUTED_VALUE"""),"Simple &amp; Multiple Regression Models (Supervised)")</f>
        <v>Simple &amp; Multiple Regression Models (Supervised)</v>
      </c>
      <c r="D24" s="12" t="str">
        <f>IFERROR(__xludf.DUMMYFUNCTION("""COMPUTED_VALUE"""),"1. Introduction to linear regression (including assumption)
2. Linear regression (single &amp; multiple predictor)
3. Model interpretation
4. Handling multicollinearity using VIF
5. Model evaluation &amp; diagnostic
6. Model limitations")</f>
        <v>1. Introduction to linear regression (including assumption)
2. Linear regression (single &amp; multiple predictor)
3. Model interpretation
4. Handling multicollinearity using VIF
5. Model evaluation &amp; diagnostic
6. Model limitations</v>
      </c>
      <c r="E24" s="12" t="str">
        <f>IFERROR(__xludf.DUMMYFUNCTION("""COMPUTED_VALUE"""),"Class Exercise:
Regression with Python")</f>
        <v>Class Exercise:
Regression with Python</v>
      </c>
      <c r="F24" s="27" t="str">
        <f>IFERROR(__xludf.DUMMYFUNCTION("""COMPUTED_VALUE"""),"Zoom, Google Colaboratory")</f>
        <v>Zoom, Google Colaboratory</v>
      </c>
    </row>
    <row r="25">
      <c r="A25" s="13">
        <v>24.0</v>
      </c>
      <c r="B25" s="28" t="str">
        <f>IFERROR(__xludf.DUMMYFUNCTION("""COMPUTED_VALUE"""),"Day-22
Minggu, 17 Desember 2023
09.00 - 11.30 WIB")</f>
        <v>Day-22
Minggu, 17 Desember 2023
09.00 - 11.30 WIB</v>
      </c>
      <c r="C25" s="14" t="str">
        <f>IFERROR(__xludf.DUMMYFUNCTION("""COMPUTED_VALUE"""),"Regularized Regression in Python")</f>
        <v>Regularized Regression in Python</v>
      </c>
      <c r="D25" s="15" t="str">
        <f>IFERROR(__xludf.DUMMYFUNCTION("""COMPUTED_VALUE"""),"1. Model bias variance trade-off
2. Introduction to linear regression with regularization
3. Ridge regression in details
4. Lasso regression in details")</f>
        <v>1. Model bias variance trade-off
2. Introduction to linear regression with regularization
3. Ridge regression in details
4. Lasso regression in details</v>
      </c>
      <c r="E25" s="26" t="str">
        <f>IFERROR(__xludf.DUMMYFUNCTION("""COMPUTED_VALUE"""),"Class Exercise:
Regression with Python
Assignment:
Solve the problems and interpreting output 
Deadline: (Individu, dikumpulkan maks H+7 kelas di LMS)")</f>
        <v>Class Exercise:
Regression with Python
Assignment:
Solve the problems and interpreting output 
Deadline: (Individu, dikumpulkan maks H+7 kelas di LMS)</v>
      </c>
      <c r="F25" s="27" t="str">
        <f>IFERROR(__xludf.DUMMYFUNCTION("""COMPUTED_VALUE"""),"Zoom, Google Colaboratory")</f>
        <v>Zoom, Google Colaboratory</v>
      </c>
    </row>
    <row r="26">
      <c r="A26" s="10">
        <v>25.0</v>
      </c>
      <c r="B26" s="14" t="str">
        <f>IFERROR(__xludf.DUMMYFUNCTION("""COMPUTED_VALUE"""),"Day-23
Sabtu, 06 Januari 2024
09.00 - 11.30 WIB")</f>
        <v>Day-23
Sabtu, 06 Januari 2024
09.00 - 11.30 WIB</v>
      </c>
      <c r="C26" s="14" t="str">
        <f>IFERROR(__xludf.DUMMYFUNCTION("""COMPUTED_VALUE"""),"Exploring Machine Learning Models with Python (Supervised) Part I")</f>
        <v>Exploring Machine Learning Models with Python (Supervised) Part I</v>
      </c>
      <c r="D26" s="12" t="str">
        <f>IFERROR(__xludf.DUMMYFUNCTION("""COMPUTED_VALUE"""),"1. Introduction to Machine Learning
2. K-Nearest Neighbors
3. Logistic Regression
4. Decision Tree
 o Read the data &amp; understand the data
 o Transform data to fulfill decision tree assumption
 o Model training &amp; fit &amp; explanation of the parameters
 o Mode"&amp;"l result &amp; performance score
 o Interpret the model &amp; result")</f>
        <v>1. Introduction to Machine Learning
2. K-Nearest Neighbors
3. Logistic Regression
4. Decision Tree
 o Read the data &amp; understand the data
 o Transform data to fulfill decision tree assumption
 o Model training &amp; fit &amp; explanation of the parameters
 o Model result &amp; performance score
 o Interpret the model &amp; result</v>
      </c>
      <c r="E26" s="12" t="str">
        <f>IFERROR(__xludf.DUMMYFUNCTION("""COMPUTED_VALUE"""),"Class Exercise:
Logistic Regression with Python
Assignment:")</f>
        <v>Class Exercise:
Logistic Regression with Python
Assignment:</v>
      </c>
      <c r="F26" s="16" t="str">
        <f>IFERROR(__xludf.DUMMYFUNCTION("""COMPUTED_VALUE"""),"Zoom, Google Colaboratory")</f>
        <v>Zoom, Google Colaboratory</v>
      </c>
    </row>
    <row r="27">
      <c r="A27" s="13">
        <v>26.0</v>
      </c>
      <c r="B27" s="14" t="str">
        <f>IFERROR(__xludf.DUMMYFUNCTION("""COMPUTED_VALUE"""),"Day-24
Minggu, 07 Januari 2024
09.00 - 11.30 WIB")</f>
        <v>Day-24
Minggu, 07 Januari 2024
09.00 - 11.30 WIB</v>
      </c>
      <c r="C27" s="14" t="str">
        <f>IFERROR(__xludf.DUMMYFUNCTION("""COMPUTED_VALUE"""),"Exploring Machine Learning Models with Python (Supervised) Part II")</f>
        <v>Exploring Machine Learning Models with Python (Supervised) Part II</v>
      </c>
      <c r="D27" s="15" t="str">
        <f>IFERROR(__xludf.DUMMYFUNCTION("""COMPUTED_VALUE"""),"1. Random Forest
2. Storyline Processing Data
3. Cross Validation
4. Imbalanced Data handling
5. AUC, Precision, Recall Score")</f>
        <v>1. Random Forest
2. Storyline Processing Data
3. Cross Validation
4. Imbalanced Data handling
5. AUC, Precision, Recall Score</v>
      </c>
      <c r="E27" s="12" t="str">
        <f>IFERROR(__xludf.DUMMYFUNCTION("""COMPUTED_VALUE"""),"Class Exercise:
Random Forest with Python
Assignment:
Create Supervised Machine Learning with Python 
Deadline: (Individu, dikumpulkan maks H+7 kelas di LMS)")</f>
        <v>Class Exercise:
Random Forest with Python
Assignment:
Create Supervised Machine Learning with Python 
Deadline: (Individu, dikumpulkan maks H+7 kelas di LMS)</v>
      </c>
      <c r="F27" s="15" t="str">
        <f>IFERROR(__xludf.DUMMYFUNCTION("""COMPUTED_VALUE"""),"Zoom dan Google Colaboratory")</f>
        <v>Zoom dan Google Colaboratory</v>
      </c>
    </row>
    <row r="28">
      <c r="A28" s="10">
        <v>27.0</v>
      </c>
      <c r="B28" s="14" t="str">
        <f>IFERROR(__xludf.DUMMYFUNCTION("""COMPUTED_VALUE"""),"Day-25
Minggu, 07 Januari 2024
13.00  - 15.30 WIB")</f>
        <v>Day-25
Minggu, 07 Januari 2024
13.00  - 15.30 WIB</v>
      </c>
      <c r="C28" s="14" t="str">
        <f>IFERROR(__xludf.DUMMYFUNCTION("""COMPUTED_VALUE"""),"Team Activity")</f>
        <v>Team Activity</v>
      </c>
      <c r="D28" s="12" t="str">
        <f>IFERROR(__xludf.DUMMYFUNCTION("""COMPUTED_VALUE"""),"Student akan dibentuk kelompok untuk menyelesaikan fun challenge yang diberikan oleh tim dibimbing.id")</f>
        <v>Student akan dibentuk kelompok untuk menyelesaikan fun challenge yang diberikan oleh tim dibimbing.id</v>
      </c>
      <c r="E28" s="12"/>
      <c r="F28" s="16"/>
    </row>
    <row r="29">
      <c r="A29" s="13">
        <v>28.0</v>
      </c>
      <c r="B29" s="11" t="str">
        <f>IFERROR(__xludf.DUMMYFUNCTION("""COMPUTED_VALUE"""),"Day-26
Sabtu, 13 Januari 2024
09.00 - 12.00 WIB")</f>
        <v>Day-26
Sabtu, 13 Januari 2024
09.00 - 12.00 WIB</v>
      </c>
      <c r="C29" s="11" t="str">
        <f>IFERROR(__xludf.DUMMYFUNCTION("""COMPUTED_VALUE"""),"Exploring Other Machine Learning Models With Python (Unsupervised) Part I")</f>
        <v>Exploring Other Machine Learning Models With Python (Unsupervised) Part I</v>
      </c>
      <c r="D29" s="12" t="str">
        <f>IFERROR(__xludf.DUMMYFUNCTION("""COMPUTED_VALUE"""),"1. Introduction to Unsupervised Machine Learning
2. Principal Component Analysis (PCA) &amp; Factor Analysis (FA)
o Read the data &amp; understand the data
o Model training &amp; fit &amp; explanation of the parameters
o Model result &amp; performance score
o Scree plot
o Vi"&amp;"sualize dimension reduction
o Interpret the model &amp; result")</f>
        <v>1. Introduction to Unsupervised Machine Learning
2. Principal Component Analysis (PCA) &amp; Factor Analysis (FA)
o Read the data &amp; understand the data
o Model training &amp; fit &amp; explanation of the parameters
o Model result &amp; performance score
o Scree plot
o Visualize dimension reduction
o Interpret the model &amp; result</v>
      </c>
      <c r="E29" s="12" t="str">
        <f>IFERROR(__xludf.DUMMYFUNCTION("""COMPUTED_VALUE"""),"Class Exercise:
Hands on Unsupervised
Assignment:
Create Unsupervised Machine Learning with Python 
Deadline: (Individu, dikumpulkan maks H+7 kelas di LMS)")</f>
        <v>Class Exercise:
Hands on Unsupervised
Assignment:
Create Unsupervised Machine Learning with Python 
Deadline: (Individu, dikumpulkan maks H+7 kelas di LMS)</v>
      </c>
      <c r="F29" s="12" t="str">
        <f>IFERROR(__xludf.DUMMYFUNCTION("""COMPUTED_VALUE"""),"Zoom dan Google Colaboratory")</f>
        <v>Zoom dan Google Colaboratory</v>
      </c>
    </row>
    <row r="30">
      <c r="A30" s="10">
        <v>29.0</v>
      </c>
      <c r="B30" s="11" t="str">
        <f>IFERROR(__xludf.DUMMYFUNCTION("""COMPUTED_VALUE"""),"Day-27
Minggu, 14 Januari 2024
09.00 - 12.00 WIB")</f>
        <v>Day-27
Minggu, 14 Januari 2024
09.00 - 12.00 WIB</v>
      </c>
      <c r="C30" s="11" t="str">
        <f>IFERROR(__xludf.DUMMYFUNCTION("""COMPUTED_VALUE"""),"Exploring Other Machine Learning Models With Python (Unsupervised) Part II")</f>
        <v>Exploring Other Machine Learning Models With Python (Unsupervised) Part II</v>
      </c>
      <c r="D30" s="12" t="str">
        <f>IFERROR(__xludf.DUMMYFUNCTION("""COMPUTED_VALUE"""),"1. Introduction to Clustering
2. Cluster analysis
o K-Means Clustering
o Read the data &amp; understand the data
o Model training &amp; fit &amp; explanation of the parameters
o Model result &amp; performance score
o Interpret the model &amp; result
o Visualize the result")</f>
        <v>1. Introduction to Clustering
2. Cluster analysis
o K-Means Clustering
o Read the data &amp; understand the data
o Model training &amp; fit &amp; explanation of the parameters
o Model result &amp; performance score
o Interpret the model &amp; result
o Visualize the result</v>
      </c>
      <c r="E30" s="12" t="str">
        <f>IFERROR(__xludf.DUMMYFUNCTION("""COMPUTED_VALUE"""),"Class Exercise:
Hands on Unsupervised
Assignment:
Create Unsupervised Machine Learning with Python 
Deadline: (Individu, dikumpulkan maks H+7 kelas di LMS)")</f>
        <v>Class Exercise:
Hands on Unsupervised
Assignment:
Create Unsupervised Machine Learning with Python 
Deadline: (Individu, dikumpulkan maks H+7 kelas di LMS)</v>
      </c>
      <c r="F30" s="12" t="str">
        <f>IFERROR(__xludf.DUMMYFUNCTION("""COMPUTED_VALUE"""),"Zoom dan Google Colaboratory")</f>
        <v>Zoom dan Google Colaboratory</v>
      </c>
    </row>
    <row r="31">
      <c r="A31" s="13">
        <v>30.0</v>
      </c>
      <c r="B31" s="14" t="str">
        <f>IFERROR(__xludf.DUMMYFUNCTION("""COMPUTED_VALUE"""),"Day-28
Minggu, 14 Januari 2024
13.00 - 16.00 WIB")</f>
        <v>Day-28
Minggu, 14 Januari 2024
13.00 - 16.00 WIB</v>
      </c>
      <c r="C31" s="14" t="str">
        <f>IFERROR(__xludf.DUMMYFUNCTION("""COMPUTED_VALUE"""),"Hyperparameter Tuning in Python")</f>
        <v>Hyperparameter Tuning in Python</v>
      </c>
      <c r="D31" s="15" t="str">
        <f>IFERROR(__xludf.DUMMYFUNCTION("""COMPUTED_VALUE"""),"1. What is hyperparameter &amp; why optimizing it?
2. Tuning penalized linear regression
3. Tuning K-Nearest Neighbors
4. Tuning K-means clustering
5. Tuning Random Forest")</f>
        <v>1. What is hyperparameter &amp; why optimizing it?
2. Tuning penalized linear regression
3. Tuning K-Nearest Neighbors
4. Tuning K-means clustering
5. Tuning Random Forest</v>
      </c>
      <c r="E31" s="33" t="str">
        <f>IFERROR(__xludf.DUMMYFUNCTION("""COMPUTED_VALUE"""),"Class Exercise:
Hands on Hyperparameter Tuning
Assignment:
Hyperparameter tuning with Python 
Deadline: (Individu, dikumpulkan maks H+7 kelas di LMS)")</f>
        <v>Class Exercise:
Hands on Hyperparameter Tuning
Assignment:
Hyperparameter tuning with Python 
Deadline: (Individu, dikumpulkan maks H+7 kelas di LMS)</v>
      </c>
      <c r="F31" s="34" t="str">
        <f>IFERROR(__xludf.DUMMYFUNCTION("""COMPUTED_VALUE"""),"Zoom dan Google Colaboratory")</f>
        <v>Zoom dan Google Colaboratory</v>
      </c>
    </row>
    <row r="32">
      <c r="A32" s="10">
        <v>31.0</v>
      </c>
      <c r="B32" s="11" t="str">
        <f>IFERROR(__xludf.DUMMYFUNCTION("""COMPUTED_VALUE"""),"Day-29
Sabtu, 20 Januari 2024
09.00 - 11.30 WIB")</f>
        <v>Day-29
Sabtu, 20 Januari 2024
09.00 - 11.30 WIB</v>
      </c>
      <c r="C32" s="11" t="str">
        <f>IFERROR(__xludf.DUMMYFUNCTION("""COMPUTED_VALUE"""),"Support Vector Machine")</f>
        <v>Support Vector Machine</v>
      </c>
      <c r="D32" s="12" t="str">
        <f>IFERROR(__xludf.DUMMYFUNCTION("""COMPUTED_VALUE"""),"1. Introduction to Support Vector Machine (SVM)
2. Kernels in SVM
3. SVM Training
4. Evaluating SVM Models
5. Regularization and Overfitting in SVM")</f>
        <v>1. Introduction to Support Vector Machine (SVM)
2. Kernels in SVM
3. SVM Training
4. Evaluating SVM Models
5. Regularization and Overfitting in SVM</v>
      </c>
      <c r="E32" s="12" t="str">
        <f>IFERROR(__xludf.DUMMYFUNCTION("""COMPUTED_VALUE"""),"Class Exercise:
Hands on Support Vector Machine
Assignment:
Case study Support Vector Machine with Python
Deadline: (Individu, dikumpulkan maks H+7 kelas di LMS)")</f>
        <v>Class Exercise:
Hands on Support Vector Machine
Assignment:
Case study Support Vector Machine with Python
Deadline: (Individu, dikumpulkan maks H+7 kelas di LMS)</v>
      </c>
      <c r="F32" s="12" t="str">
        <f>IFERROR(__xludf.DUMMYFUNCTION("""COMPUTED_VALUE"""),"Zoom dan Google Colaboratory")</f>
        <v>Zoom dan Google Colaboratory</v>
      </c>
    </row>
    <row r="33">
      <c r="A33" s="13">
        <v>32.0</v>
      </c>
      <c r="B33" s="14" t="str">
        <f>IFERROR(__xludf.DUMMYFUNCTION("""COMPUTED_VALUE"""),"Day-30
Minggu, 21 Januari 2024
09.00 - 11.30 WIB")</f>
        <v>Day-30
Minggu, 21 Januari 2024
09.00 - 11.30 WIB</v>
      </c>
      <c r="C33" s="14" t="str">
        <f>IFERROR(__xludf.DUMMYFUNCTION("""COMPUTED_VALUE"""),"Business Understanding in Data Science")</f>
        <v>Business Understanding in Data Science</v>
      </c>
      <c r="D33" s="15" t="str">
        <f>IFERROR(__xludf.DUMMYFUNCTION("""COMPUTED_VALUE"""),"1. Bagaimana Data Science berkontribusi pada perkembangan bisnis
2. Insight dari proses Data Science yang penting untuk dilihat guna meningkatkan profit perusahaan
3. Kemungkinan yang terjadi jika tidak memperhatikan insight dari proses Data Science ke pe"&amp;"rusahaan")</f>
        <v>1. Bagaimana Data Science berkontribusi pada perkembangan bisnis
2. Insight dari proses Data Science yang penting untuk dilihat guna meningkatkan profit perusahaan
3. Kemungkinan yang terjadi jika tidak memperhatikan insight dari proses Data Science ke perusahaan</v>
      </c>
      <c r="E33" s="26" t="str">
        <f>IFERROR(__xludf.DUMMYFUNCTION("""COMPUTED_VALUE"""),"Class Exercise:
Case study tentang bagaimana memahami insight yang diperoleh untuk mencapai kesuksesan perusahaan")</f>
        <v>Class Exercise:
Case study tentang bagaimana memahami insight yang diperoleh untuk mencapai kesuksesan perusahaan</v>
      </c>
      <c r="F33" s="27" t="str">
        <f>IFERROR(__xludf.DUMMYFUNCTION("""COMPUTED_VALUE"""),"Zoom")</f>
        <v>Zoom</v>
      </c>
    </row>
    <row r="34">
      <c r="A34" s="10">
        <v>33.0</v>
      </c>
      <c r="B34" s="11" t="str">
        <f>IFERROR(__xludf.DUMMYFUNCTION("""COMPUTED_VALUE"""),"Day-31
Sabtu, 27 Januari 2024
09.00 - 11.30 WIB")</f>
        <v>Day-31
Sabtu, 27 Januari 2024
09.00 - 11.30 WIB</v>
      </c>
      <c r="C34" s="11" t="str">
        <f>IFERROR(__xludf.DUMMYFUNCTION("""COMPUTED_VALUE"""),"Career Class and Coding Test 
Preparation")</f>
        <v>Career Class and Coding Test 
Preparation</v>
      </c>
      <c r="D34" s="12" t="str">
        <f>IFERROR(__xludf.DUMMYFUNCTION("""COMPUTED_VALUE"""),"1. Alur rekrutmen sebagai data scientist
2. Jenis tes yang harus dilalui saat proses rekrutmen
3. Kendala apa saja yang biasanya dihadapi saat proses rekrutmen
4. Tips &amp; tricks dalam proses rekrutmen sebagai data scientist (terutama pada technical intervi"&amp;"ew)
5. Hal yang paling penting untuk dimiliki agar bisa switching career
6. Simulasi live coding test menggunakan HackerRank")</f>
        <v>1. Alur rekrutmen sebagai data scientist
2. Jenis tes yang harus dilalui saat proses rekrutmen
3. Kendala apa saja yang biasanya dihadapi saat proses rekrutmen
4. Tips &amp; tricks dalam proses rekrutmen sebagai data scientist (terutama pada technical interview)
5. Hal yang paling penting untuk dimiliki agar bisa switching career
6. Simulasi live coding test menggunakan HackerRank</v>
      </c>
      <c r="E34" s="12" t="str">
        <f>IFERROR(__xludf.DUMMYFUNCTION("""COMPUTED_VALUE"""),"Class Exercise:
Solve coding problems on HackerRank")</f>
        <v>Class Exercise:
Solve coding problems on HackerRank</v>
      </c>
      <c r="F34" s="12" t="str">
        <f>IFERROR(__xludf.DUMMYFUNCTION("""COMPUTED_VALUE"""),"Zoom, HackerRank")</f>
        <v>Zoom, HackerRank</v>
      </c>
    </row>
    <row r="35">
      <c r="A35" s="13">
        <v>34.0</v>
      </c>
      <c r="B35" s="14" t="str">
        <f>IFERROR(__xludf.DUMMYFUNCTION("""COMPUTED_VALUE"""),"Day-32
Sabtu, 03 Februari 2024
09.00 - 12.00 WIB")</f>
        <v>Day-32
Sabtu, 03 Februari 2024
09.00 - 12.00 WIB</v>
      </c>
      <c r="C35" s="14" t="str">
        <f>IFERROR(__xludf.DUMMYFUNCTION("""COMPUTED_VALUE"""),"Final Test : Coding Test")</f>
        <v>Final Test : Coding Test</v>
      </c>
      <c r="D35" s="12" t="str">
        <f>IFERROR(__xludf.DUMMYFUNCTION("""COMPUTED_VALUE"""),"Pada sesi ini akan dilakukan pengujian coding secara real time oleh masing-masing student")</f>
        <v>Pada sesi ini akan dilakukan pengujian coding secara real time oleh masing-masing student</v>
      </c>
      <c r="E35" s="12"/>
      <c r="F35" s="15"/>
    </row>
    <row r="36">
      <c r="A36" s="10">
        <v>35.0</v>
      </c>
      <c r="B36" s="14" t="str">
        <f>IFERROR(__xludf.DUMMYFUNCTION("""COMPUTED_VALUE"""),"Day-33
Minggu, 04 Februari 2024
09.00 - 11.30 WIB")</f>
        <v>Day-33
Minggu, 04 Februari 2024
09.00 - 11.30 WIB</v>
      </c>
      <c r="C36" s="14" t="str">
        <f>IFERROR(__xludf.DUMMYFUNCTION("""COMPUTED_VALUE"""),"Data Science Career &amp; Final Project Introduction")</f>
        <v>Data Science Career &amp; Final Project Introduction</v>
      </c>
      <c r="D36" s="19" t="str">
        <f>IFERROR(__xludf.DUMMYFUNCTION("""COMPUTED_VALUE"""),"1. Workflow in Data Science field (differentiation between data scientist, data analyst, data engineer, or etc)
2. Describe job options in Data Science and their role in industry
3. How to do a project and transform it to shareable portfolio on Linkedin
4"&amp;". What is Kaggle? and how to writing in Kaggle ?
5. How to use Kaggle and create portfolio with this source
6. Final Project introduction
- Timeline final project introduction
- Aspek penilaian")</f>
        <v>1. Workflow in Data Science field (differentiation between data scientist, data analyst, data engineer, or etc)
2. Describe job options in Data Science and their role in industry
3. How to do a project and transform it to shareable portfolio on Linkedin
4. What is Kaggle? and how to writing in Kaggle ?
5. How to use Kaggle and create portfolio with this source
6. Final Project introduction
- Timeline final project introduction
- Aspek penilaian</v>
      </c>
      <c r="E36" s="12"/>
      <c r="F36" s="16" t="str">
        <f>IFERROR(__xludf.DUMMYFUNCTION("""COMPUTED_VALUE"""),"Zoom (Breakout room pada topic ke 6)")</f>
        <v>Zoom (Breakout room pada topic ke 6)</v>
      </c>
    </row>
    <row r="37">
      <c r="A37" s="13">
        <v>36.0</v>
      </c>
      <c r="B37" s="14" t="str">
        <f>IFERROR(__xludf.DUMMYFUNCTION("""COMPUTED_VALUE"""),"Day-34
Minggu, 11 Februari 2024
23.29 - 23.30 WIB")</f>
        <v>Day-34
Minggu, 11 Februari 2024
23.29 - 23.30 WIB</v>
      </c>
      <c r="C37" s="44" t="str">
        <f>IFERROR(__xludf.DUMMYFUNCTION("""COMPUTED_VALUE"""),"Pengumpulan Progress Final Project")</f>
        <v>Pengumpulan Progress Final Project</v>
      </c>
      <c r="D37" s="45"/>
      <c r="E37" s="45"/>
      <c r="F37" s="46"/>
    </row>
    <row r="38">
      <c r="A38" s="10">
        <v>37.0</v>
      </c>
      <c r="B38" s="11" t="str">
        <f>IFERROR(__xludf.DUMMYFUNCTION("""COMPUTED_VALUE"""),"Day-35
Sabtu, 17 Februari 2024
09.00 - 12.00 WIB")</f>
        <v>Day-35
Sabtu, 17 Februari 2024
09.00 - 12.00 WIB</v>
      </c>
      <c r="C38" s="11" t="str">
        <f>IFERROR(__xludf.DUMMYFUNCTION("""COMPUTED_VALUE"""),"Final Project Mentoring")</f>
        <v>Final Project Mentoring</v>
      </c>
      <c r="D38" s="12" t="str">
        <f>IFERROR(__xludf.DUMMYFUNCTION("""COMPUTED_VALUE"""),"Pada sesi ini, students akan difasilitasi untuk berkonsultasi secara live dengan para mentor terkait perkembangan final project pada tim masing-masing")</f>
        <v>Pada sesi ini, students akan difasilitasi untuk berkonsultasi secara live dengan para mentor terkait perkembangan final project pada tim masing-masing</v>
      </c>
      <c r="E38" s="26" t="str">
        <f>IFERROR(__xludf.DUMMYFUNCTION("""COMPUTED_VALUE"""),"Assignment:
Mengumpulkan script dan file presentasi final project")</f>
        <v>Assignment:
Mengumpulkan script dan file presentasi final project</v>
      </c>
      <c r="F38" s="26" t="str">
        <f>IFERROR(__xludf.DUMMYFUNCTION("""COMPUTED_VALUE"""),"Zoom")</f>
        <v>Zoom</v>
      </c>
    </row>
    <row r="39">
      <c r="A39" s="13">
        <v>38.0</v>
      </c>
      <c r="B39" s="14" t="str">
        <f>IFERROR(__xludf.DUMMYFUNCTION("""COMPUTED_VALUE"""),"Day-36
Sabtu, 24 Februari 2024
09.00 - 12.00 WIB")</f>
        <v>Day-36
Sabtu, 24 Februari 2024
09.00 - 12.00 WIB</v>
      </c>
      <c r="C39" s="14" t="str">
        <f>IFERROR(__xludf.DUMMYFUNCTION("""COMPUTED_VALUE"""),"Final Project Presentation")</f>
        <v>Final Project Presentation</v>
      </c>
      <c r="D39" s="12" t="str">
        <f>IFERROR(__xludf.DUMMYFUNCTION("""COMPUTED_VALUE"""),"Pada sesi ini, students akan mempresentasikan hasil final projectnya yang akan direview langsung oleh mentor")</f>
        <v>Pada sesi ini, students akan mempresentasikan hasil final projectnya yang akan direview langsung oleh mentor</v>
      </c>
      <c r="E39" s="12" t="str">
        <f>IFERROR(__xludf.DUMMYFUNCTION("""COMPUTED_VALUE"""),"Presentasi Final Project")</f>
        <v>Presentasi Final Project</v>
      </c>
      <c r="F39" s="15" t="str">
        <f>IFERROR(__xludf.DUMMYFUNCTION("""COMPUTED_VALUE"""),"Zoom")</f>
        <v>Zoom</v>
      </c>
    </row>
    <row r="40">
      <c r="A40" s="10">
        <v>39.0</v>
      </c>
      <c r="B40" s="14" t="str">
        <f>IFERROR(__xludf.DUMMYFUNCTION("""COMPUTED_VALUE"""),"Day-37
Sabtu, 02 Maret 2024
09.00 - 11.30 WIB")</f>
        <v>Day-37
Sabtu, 02 Maret 2024
09.00 - 11.30 WIB</v>
      </c>
      <c r="C40" s="14" t="str">
        <f>IFERROR(__xludf.DUMMYFUNCTION("""COMPUTED_VALUE"""),"Portofolio Review ")</f>
        <v>Portofolio Review </v>
      </c>
      <c r="D40" s="12" t="str">
        <f>IFERROR(__xludf.DUMMYFUNCTION("""COMPUTED_VALUE"""),"1. Do the portfolio sharing on Social media platform
2. Write the portfolio on the updated CV
3. Portfolio review
")</f>
        <v>1. Do the portfolio sharing on Social media platform
2. Write the portfolio on the updated CV
3. Portfolio review
</v>
      </c>
      <c r="E40" s="26" t="str">
        <f>IFERROR(__xludf.DUMMYFUNCTION("""COMPUTED_VALUE"""),"Assignments:
Create, submit, and post all Python portfolio
Deadline: (Individu, dikumpulkan maks H+7 kelas ke tim Dibimbing.id)")</f>
        <v>Assignments:
Create, submit, and post all Python portfolio
Deadline: (Individu, dikumpulkan maks H+7 kelas ke tim Dibimbing.id)</v>
      </c>
      <c r="F40" s="27" t="str">
        <f>IFERROR(__xludf.DUMMYFUNCTION("""COMPUTED_VALUE"""),"Zoom, LinkedIn, Google Colaboratory")</f>
        <v>Zoom, LinkedIn, Google Colaboratory</v>
      </c>
    </row>
    <row r="41">
      <c r="A41" s="13">
        <v>40.0</v>
      </c>
      <c r="B41" s="14" t="str">
        <f>IFERROR(__xludf.DUMMYFUNCTION("""COMPUTED_VALUE"""),"Day-38
Sabtu, 16 Maret 2024
09.00  - 11.30 WIB")</f>
        <v>Day-38
Sabtu, 16 Maret 2024
09.00  - 11.30 WIB</v>
      </c>
      <c r="C41" s="14" t="str">
        <f>IFERROR(__xludf.DUMMYFUNCTION("""COMPUTED_VALUE"""),"Graduation")</f>
        <v>Graduation</v>
      </c>
      <c r="D41" s="12" t="str">
        <f>IFERROR(__xludf.DUMMYFUNCTION("""COMPUTED_VALUE"""),"Pada sesi ini akan diumumkan awards untuk students terbaik yang memenuhi kualifikasi serta pembagian sertifikat dan hal-hal yang perlu disampaikan terkait berakhirnya bootcamp ")</f>
        <v>Pada sesi ini akan diumumkan awards untuk students terbaik yang memenuhi kualifikasi serta pembagian sertifikat dan hal-hal yang perlu disampaikan terkait berakhirnya bootcamp </v>
      </c>
      <c r="E41" s="12"/>
      <c r="F41" s="15"/>
    </row>
  </sheetData>
  <hyperlinks>
    <hyperlink r:id="rId1" ref="E7"/>
    <hyperlink r:id="rId2" ref="D15"/>
    <hyperlink r:id="rId3" ref="E16"/>
    <hyperlink r:id="rId4" ref="E20"/>
    <hyperlink r:id="rId5" ref="D28"/>
  </hyperlinks>
  <drawing r:id="rId6"/>
</worksheet>
</file>